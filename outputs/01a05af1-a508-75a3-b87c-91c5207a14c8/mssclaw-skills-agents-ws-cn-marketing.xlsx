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61da389b174a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63eecb500e2443ef"/>
    <x:sheet xmlns:r="http://schemas.openxmlformats.org/officeDocument/2006/relationships" name="Skill清单" sheetId="2" r:id="Rcdf63c1a346a46b2"/>
    <x:sheet xmlns:r="http://schemas.openxmlformats.org/officeDocument/2006/relationships" name="Skill配置" sheetId="3" r:id="Rc9325cded4bd4e1c"/>
    <x:sheet xmlns:r="http://schemas.openxmlformats.org/officeDocument/2006/relationships" name="Agent清单" sheetId="4" r:id="Ra364e0adb8644bec"/>
    <x:sheet xmlns:r="http://schemas.openxmlformats.org/officeDocument/2006/relationships" name="Agent配置" sheetId="5" r:id="R850807685a9b48f0"/>
    <x:sheet xmlns:r="http://schemas.openxmlformats.org/officeDocument/2006/relationships" name="Agent-Skill关系" sheetId="6" r:id="R047b856647254f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B5563"/>
      <x:name val="Carlito"/>
    </x:font>
    <x:font>
      <x:b/>
      <x:sz val="11"/>
      <x:color rgb="FFFFFFFF"/>
      <x:name val="Carlito"/>
    </x:font>
    <x:font>
      <x:sz val="10"/>
      <x:color rgb="FF92400E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B91C1C"/>
      </x:patternFill>
    </x:fill>
    <x:fill>
      <x:patternFill patternType="solid">
        <x:fgColor rgb="FFFEF3C7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bc4b3f29b24797" /><Relationship Type="http://schemas.openxmlformats.org/officeDocument/2006/relationships/theme" Target="/xl/theme/theme1.xml" Id="R63da6224872749d9" /><Relationship Type="http://schemas.openxmlformats.org/officeDocument/2006/relationships/sharedStrings" Target="/xl/sharedStrings.xml" Id="Re755a245174c4e2f" /><Relationship Type="http://schemas.openxmlformats.org/officeDocument/2006/relationships/worksheet" Target="/xl/worksheets/sheet1.xml" Id="R63eecb500e2443ef" /><Relationship Type="http://schemas.openxmlformats.org/officeDocument/2006/relationships/worksheet" Target="/xl/worksheets/sheet2.xml" Id="Rcdf63c1a346a46b2" /><Relationship Type="http://schemas.openxmlformats.org/officeDocument/2006/relationships/worksheet" Target="/xl/worksheets/sheet3.xml" Id="Rc9325cded4bd4e1c" /><Relationship Type="http://schemas.openxmlformats.org/officeDocument/2006/relationships/worksheet" Target="/xl/worksheets/sheet4.xml" Id="Ra364e0adb8644bec" /><Relationship Type="http://schemas.openxmlformats.org/officeDocument/2006/relationships/worksheet" Target="/xl/worksheets/sheet5.xml" Id="R850807685a9b48f0" /><Relationship Type="http://schemas.openxmlformats.org/officeDocument/2006/relationships/worksheet" Target="/xl/worksheets/sheet6.xml" Id="R047b856647254f5d" /></Relationships>
</file>

<file path=xl/tables/table1.xml><?xml version="1.0" encoding="utf-8"?>
<x:table xmlns:x="http://schemas.openxmlformats.org/spreadsheetml/2006/main" id="1" name="SkillTable" displayName="SkillTable" ref="A4:AJ31" headerRowCount="1" totalsRowCount="0" totalsRowShown="0">
  <x:autoFilter ref="A4:AJ31"/>
  <x:tableColumns count="36">
    <x:tableColumn id="1" name="序号"/>
    <x:tableColumn id="2" name="Skill ID"/>
    <x:tableColumn id="3" name="名称"/>
    <x:tableColumn id="4" name="英文名称"/>
    <x:tableColumn id="5" name="分类"/>
    <x:tableColumn id="6" name="业务场景ID"/>
    <x:tableColumn id="7" name="业务场景"/>
    <x:tableColumn id="8" name="调用指令"/>
    <x:tableColumn id="9" name="版本"/>
    <x:tableColumn id="10" name="作者"/>
    <x:tableColumn id="11" name="发布者"/>
    <x:tableColumn id="12" name="发布者ID"/>
    <x:tableColumn id="13" name="创建时间"/>
    <x:tableColumn id="14" name="更新时间"/>
    <x:tableColumn id="15" name="更新者"/>
    <x:tableColumn id="16" name="可见范围"/>
    <x:tableColumn id="17" name="来源类型"/>
    <x:tableColumn id="18" name="已发布"/>
    <x:tableColumn id="19" name="可调用"/>
    <x:tableColumn id="20" name="可调用字段来源"/>
    <x:tableColumn id="21" name="精选"/>
    <x:tableColumn id="22" name="调用次数"/>
    <x:tableColumn id="23" name="互动记录"/>
    <x:tableColumn id="24" name="浏览量"/>
    <x:tableColumn id="25" name="使用次数"/>
    <x:tableColumn id="26" name="点赞"/>
    <x:tableColumn id="27" name="点踩"/>
    <x:tableColumn id="28" name="下载"/>
    <x:tableColumn id="29" name="收藏"/>
    <x:tableColumn id="30" name="互动更新时间"/>
    <x:tableColumn id="31" name="连接器"/>
    <x:tableColumn id="32" name="图标"/>
    <x:tableColumn id="33" name="边线色"/>
    <x:tableColumn id="34" name="标签"/>
    <x:tableColumn id="35" name="搜索关键词"/>
    <x:tableColumn id="36" name="市场快照更新时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killTable" displayName="SkillTable" ref="A4:O31" headerRowCount="1" totalsRowCount="0" totalsRowShown="0">
  <x:autoFilter ref="A4:O31"/>
  <x:tableColumns count="15">
    <x:tableColumn id="1" name="Skill ID"/>
    <x:tableColumn id="2" name="名称"/>
    <x:tableColumn id="3" name="描述"/>
    <x:tableColumn id="4" name="归属部门ID"/>
    <x:tableColumn id="5" name="归属部门"/>
    <x:tableColumn id="6" name="主区域"/>
    <x:tableColumn id="7" name="多区域"/>
    <x:tableColumn id="8" name="场景标签"/>
    <x:tableColumn id="9" name="计划步骤"/>
    <x:tableColumn id="10" name="案例数"/>
    <x:tableColumn id="11" name="案例详情(JSON)"/>
    <x:tableColumn id="12" name="使用须知"/>
    <x:tableColumn id="13" name="执行正文"/>
    <x:tableColumn id="14" name="包元数据(JSON)"/>
    <x:tableColumn id="15" name="原始 J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gentTable" displayName="AgentTable" ref="A4:AF22" headerRowCount="1" totalsRowCount="0" totalsRowShown="0">
  <x:autoFilter ref="A4:AF22"/>
  <x:tableColumns count="32">
    <x:tableColumn id="1" name="序号"/>
    <x:tableColumn id="2" name="Agent ID"/>
    <x:tableColumn id="3" name="名称"/>
    <x:tableColumn id="4" name="分类"/>
    <x:tableColumn id="5" name="业务线"/>
    <x:tableColumn id="6" name="首页标签"/>
    <x:tableColumn id="7" name="业务场景ID"/>
    <x:tableColumn id="8" name="业务场景"/>
    <x:tableColumn id="9" name="作者"/>
    <x:tableColumn id="10" name="发布者"/>
    <x:tableColumn id="11" name="发布者ID"/>
    <x:tableColumn id="12" name="更新时间"/>
    <x:tableColumn id="13" name="可见范围"/>
    <x:tableColumn id="14" name="来源类型"/>
    <x:tableColumn id="15" name="已发布"/>
    <x:tableColumn id="16" name="精选"/>
    <x:tableColumn id="17" name="调用次数"/>
    <x:tableColumn id="18" name="互动记录"/>
    <x:tableColumn id="19" name="浏览量"/>
    <x:tableColumn id="20" name="使用次数"/>
    <x:tableColumn id="21" name="点赞"/>
    <x:tableColumn id="22" name="点踩"/>
    <x:tableColumn id="23" name="下载"/>
    <x:tableColumn id="24" name="收藏"/>
    <x:tableColumn id="25" name="互动更新时间"/>
    <x:tableColumn id="26" name="主Skill ID"/>
    <x:tableColumn id="27" name="挂载Skill数"/>
    <x:tableColumn id="28" name="聊天入口"/>
    <x:tableColumn id="29" name="图标"/>
    <x:tableColumn id="30" name="颜色"/>
    <x:tableColumn id="31" name="头像预设"/>
    <x:tableColumn id="32" name="市场快照更新时间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gentTable" displayName="AgentTable" ref="A4:R22" headerRowCount="1" totalsRowCount="0" totalsRowShown="0">
  <x:autoFilter ref="A4:R22"/>
  <x:tableColumns count="18">
    <x:tableColumn id="1" name="Agent ID"/>
    <x:tableColumn id="2" name="名称"/>
    <x:tableColumn id="3" name="简介"/>
    <x:tableColumn id="4" name="System Prompt / Persona"/>
    <x:tableColumn id="5" name="演示任务"/>
    <x:tableColumn id="6" name="计划步骤"/>
    <x:tableColumn id="7" name="挂载Skill ID"/>
    <x:tableColumn id="8" name="挂载Skill名称"/>
    <x:tableColumn id="9" name="主Skill ID"/>
    <x:tableColumn id="10" name="归属部门ID"/>
    <x:tableColumn id="11" name="归属部门"/>
    <x:tableColumn id="12" name="归属区域ID"/>
    <x:tableColumn id="13" name="归属区域"/>
    <x:tableColumn id="14" name="场景标签"/>
    <x:tableColumn id="15" name="可见范围"/>
    <x:tableColumn id="16" name="头像URL"/>
    <x:tableColumn id="17" name="包元数据(JSON)"/>
    <x:tableColumn id="18" name="原始 J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gentSkillTable" displayName="AgentSkillTable" ref="A4:I59" headerRowCount="1" totalsRowCount="0" totalsRowShown="0">
  <x:autoFilter ref="A4:I59"/>
  <x:tableColumns count="9">
    <x:tableColumn id="1" name="序号"/>
    <x:tableColumn id="2" name="Agent ID"/>
    <x:tableColumn id="3" name="Agent名称"/>
    <x:tableColumn id="4" name="Skill序号"/>
    <x:tableColumn id="5" name="Skill ID"/>
    <x:tableColumn id="6" name="Skill名称"/>
    <x:tableColumn id="7" name="是否主Skill"/>
    <x:tableColumn id="8" name="Skill在当前快照"/>
    <x:tableColumn id="9" name="关系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00a16dc31746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0c7351cd244b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2d9788c4b740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8826314a6743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15d55d1b6546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4" hidden="0" customWidth="1"/>
    <x:col min="5" max="5" width="18" hidden="0" customWidth="1"/>
    <x:col min="6" max="6" width="14" hidden="0" customWidth="1"/>
    <x:col min="7" max="7" width="14" hidden="0" customWidth="1"/>
    <x:col min="8" max="8" width="18" hidden="0" customWidth="1"/>
  </x:cols>
  <x:sheetData>
    <x:row r="1" ht="30" customHeight="1">
      <x:c r="A1" s="3" t="str">
        <x:v>MSSClaw Skill / Agent 数据导出</x:v>
      </x:c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范围：ws-cn-marketing（ws-cn-marketing）· 来源：运行时 marketplace 快照 · 空白字段表示源数据未提供</x:v>
      </x:c>
      <x:c r="B2" s="6"/>
      <x:c r="C2" s="6"/>
      <x:c r="D2" s="6"/>
      <x:c r="E2" s="6"/>
      <x:c r="F2" s="6"/>
      <x:c r="G2" s="6"/>
      <x:c r="H2" s="6"/>
    </x:row>
    <x:row r="4" ht="28" customHeight="1">
      <x:c r="A4" s="9" t="str">
        <x:v>指标</x:v>
      </x:c>
      <x:c r="B4" s="9" t="str">
        <x:v>值</x:v>
      </x:c>
      <x:c r="C4" s="9" t="str">
        <x:v>说明</x:v>
      </x:c>
      <x:c r="E4" s="9" t="str">
        <x:v>分类</x:v>
      </x:c>
      <x:c r="F4" s="9" t="str">
        <x:v>Skill 数量</x:v>
      </x:c>
      <x:c r="G4" s="9" t="str">
        <x:v>Agent 数量</x:v>
      </x:c>
      <x:c r="H4" s="9" t="str">
        <x:v>Skill 调用次数</x:v>
      </x:c>
    </x:row>
    <x:row r="5" ht="24" customHeight="1">
      <x:c r="A5" s="11" t="str">
        <x:v>导出时间</x:v>
      </x:c>
      <x:c r="B5" s="12" t="str">
        <x:v>​2026-09-01T03:20:09.844825+00:00</x:v>
      </x:c>
      <x:c r="C5" s="11" t="str">
        <x:v>生成本工作簿时的时间（UTC）</x:v>
      </x:c>
      <x:c r="E5" s="14" t="str">
        <x:v>办公提效</x:v>
      </x:c>
      <x:c r="F5" s="15" t="n">
        <x:f>COUNTIF('Skill清单'!E5:E31,E5)</x:f>
        <x:v>10</x:v>
      </x:c>
      <x:c r="G5" s="15" t="n">
        <x:f>COUNTIF('Agent清单'!D5:D22,E5)</x:f>
        <x:v>6</x:v>
      </x:c>
      <x:c r="H5" s="15" t="n">
        <x:f>SUMIF('Skill清单'!E5:E31,E5,'Skill清单'!V5:V31)</x:f>
        <x:v>68302</x:v>
      </x:c>
    </x:row>
    <x:row r="6" ht="24" customHeight="1">
      <x:c r="A6" s="11" t="str">
        <x:v>工作区 ID</x:v>
      </x:c>
      <x:c r="B6" s="12" t="str">
        <x:v>ws-cn-marketing</x:v>
      </x:c>
      <x:c r="C6" s="11" t="str">
        <x:v>仅导出当前运行时工作区，避免跨工作区混合</x:v>
      </x:c>
      <x:c r="E6" s="14" t="str">
        <x:v>管理提效</x:v>
      </x:c>
      <x:c r="F6" s="15" t="n">
        <x:f>COUNTIF('Skill清单'!E5:E31,E6)</x:f>
        <x:v>8</x:v>
      </x:c>
      <x:c r="G6" s="15" t="n">
        <x:f>COUNTIF('Agent清单'!D5:D22,E6)</x:f>
        <x:v>8</x:v>
      </x:c>
      <x:c r="H6" s="15" t="n">
        <x:f>SUMIF('Skill清单'!E5:E31,E6,'Skill清单'!V5:V31)</x:f>
        <x:v>72800</x:v>
      </x:c>
    </x:row>
    <x:row r="7" ht="24" customHeight="1">
      <x:c r="A7" s="11" t="str">
        <x:v>数据源</x:v>
      </x:c>
      <x:c r="B7" s="12" t="str">
        <x:v>CenterRecord.kind=marketplace</x:v>
      </x:c>
      <x:c r="C7" s="11" t="str">
        <x:v>后端 marketplace 是前台集市运行时权威快照</x:v>
      </x:c>
      <x:c r="E7" s="14" t="str">
        <x:v>流程提效</x:v>
      </x:c>
      <x:c r="F7" s="15" t="n">
        <x:f>COUNTIF('Skill清单'!E5:E31,E7)</x:f>
        <x:v>4</x:v>
      </x:c>
      <x:c r="G7" s="15" t="n">
        <x:f>COUNTIF('Agent清单'!D5:D22,E7)</x:f>
        <x:v>2</x:v>
      </x:c>
      <x:c r="H7" s="15" t="n">
        <x:f>SUMIF('Skill清单'!E5:E31,E7,'Skill清单'!V5:V31)</x:f>
        <x:v>15000</x:v>
      </x:c>
    </x:row>
    <x:row r="8" ht="24" customHeight="1">
      <x:c r="A8" s="11" t="str">
        <x:v>Skill 数量</x:v>
      </x:c>
      <x:c r="B8" s="13" t="n">
        <x:f>COUNTA('Skill清单'!B5:B31)</x:f>
        <x:v>27</x:v>
      </x:c>
      <x:c r="C8" s="11" t="str">
        <x:v>市场快照中的 Skill 条目</x:v>
      </x:c>
      <x:c r="E8" s="14" t="str">
        <x:v>体验提升</x:v>
      </x:c>
      <x:c r="F8" s="15" t="n">
        <x:f>COUNTIF('Skill清单'!E5:E31,E8)</x:f>
        <x:v>5</x:v>
      </x:c>
      <x:c r="G8" s="15" t="n">
        <x:f>COUNTIF('Agent清单'!D5:D22,E8)</x:f>
        <x:v>2</x:v>
      </x:c>
      <x:c r="H8" s="15" t="n">
        <x:f>SUMIF('Skill清单'!E5:E31,E8,'Skill清单'!V5:V31)</x:f>
        <x:v>60000</x:v>
      </x:c>
    </x:row>
    <x:row r="9" ht="24" customHeight="1">
      <x:c r="A9" s="11" t="str">
        <x:v>Agent 数量</x:v>
      </x:c>
      <x:c r="B9" s="13" t="n">
        <x:f>COUNTA('Agent清单'!B5:B22)</x:f>
        <x:v>18</x:v>
      </x:c>
      <x:c r="C9" s="11" t="str">
        <x:v>市场快照中的 Agent 条目</x:v>
      </x:c>
    </x:row>
    <x:row r="10" ht="24" customHeight="1">
      <x:c r="A10" s="11" t="str">
        <x:v>Agent-Skill 关系数</x:v>
      </x:c>
      <x:c r="B10" s="13" t="n">
        <x:f>COUNTA('Agent-Skill关系'!B5:B59)</x:f>
        <x:v>55</x:v>
      </x:c>
      <x:c r="C10" s="11" t="str">
        <x:v>每个 Agent 挂载一个 Skill 计一行</x:v>
      </x:c>
    </x:row>
    <x:row r="11" ht="22" customHeight="1">
      <x:c r="A11" s="11" t="str">
        <x:v>已发布 Skill</x:v>
      </x:c>
      <x:c r="B11" s="13" t="n">
        <x:f>COUNTIF('Skill清单'!R5:R31,"是")</x:f>
        <x:v>27</x:v>
      </x:c>
      <x:c r="C11" s="11" t="str">
        <x:v>已发布字段为“是”</x:v>
      </x:c>
      <x:c r="E11" s="19" t="str">
        <x:v>边界说明：本次只读取当前工作区 marketplace 快照；未混入其他工作区、过期 CenterRecord 投影或历史静态原型。互动指标来自 MarketEngagement 聚合表；原始 JSON 放在明细配置页末列，包仅导出元数据。</x:v>
      </x:c>
      <x:c r="F11" s="19"/>
      <x:c r="G11" s="19"/>
      <x:c r="H11" s="19"/>
    </x:row>
    <x:row r="12" ht="22" customHeight="1">
      <x:c r="A12" s="11" t="str">
        <x:v>可调用 Skill</x:v>
      </x:c>
      <x:c r="B12" s="13" t="n">
        <x:f>COUNTIF('Skill清单'!S5:S31,"是")</x:f>
        <x:v>27</x:v>
      </x:c>
      <x:c r="C12" s="11" t="str">
        <x:v>缺少 callable 时按 published 兼容回填</x:v>
      </x:c>
      <x:c r="E12" s="19"/>
      <x:c r="F12" s="19"/>
      <x:c r="G12" s="19"/>
      <x:c r="H12" s="19"/>
    </x:row>
    <x:row r="13" ht="22" customHeight="1">
      <x:c r="A13" s="11" t="str">
        <x:v>精选 Skill</x:v>
      </x:c>
      <x:c r="B13" s="13" t="n">
        <x:f>COUNTIF('Skill清单'!U5:U31,"是")</x:f>
        <x:v>27</x:v>
      </x:c>
      <x:c r="C13" s="11" t="str">
        <x:v>featuredInMssMarket / featuredInDoTask</x:v>
      </x:c>
      <x:c r="E13" s="19"/>
      <x:c r="F13" s="19"/>
      <x:c r="G13" s="19"/>
      <x:c r="H13" s="19"/>
    </x:row>
    <x:row r="14" ht="22" customHeight="1">
      <x:c r="A14" s="11" t="str">
        <x:v>已发布 Agent</x:v>
      </x:c>
      <x:c r="B14" s="13" t="n">
        <x:f>COUNTIF('Agent清单'!O5:O22,"是")</x:f>
        <x:v>18</x:v>
      </x:c>
      <x:c r="C14" s="11" t="str">
        <x:v>已发布字段为“是”</x:v>
      </x:c>
      <x:c r="E14" s="19"/>
      <x:c r="F14" s="19"/>
      <x:c r="G14" s="19"/>
      <x:c r="H14" s="19"/>
    </x:row>
    <x:row r="15" ht="24" customHeight="1">
      <x:c r="A15" s="11" t="str">
        <x:v>Skill 演示调用总次数</x:v>
      </x:c>
      <x:c r="B15" s="13" t="n">
        <x:f>SUM('Skill清单'!V5:V31)</x:f>
        <x:v>216102</x:v>
      </x:c>
      <x:c r="C15" s="11" t="str">
        <x:v>marketplace invokes 字段求和</x:v>
      </x:c>
    </x:row>
    <x:row r="16" ht="24" customHeight="1">
      <x:c r="A16" s="11" t="str">
        <x:v>Agent 演示调用总次数</x:v>
      </x:c>
      <x:c r="B16" s="13" t="n">
        <x:f>SUM('Agent清单'!Q5:Q22)</x:f>
        <x:v>46970</x:v>
      </x:c>
      <x:c r="C16" s="11" t="str">
        <x:v>marketplace invokes 字段求和</x:v>
      </x:c>
    </x:row>
    <x:row r="17" ht="24" customHeight="1">
      <x:c r="A17" s="11" t="str">
        <x:v>互动浏览量合计</x:v>
      </x:c>
      <x:c r="B17" s="13" t="n">
        <x:f>SUM('Skill清单'!X5:X31)+SUM('Agent清单'!S5:S22)</x:f>
        <x:v>26</x:v>
      </x:c>
      <x:c r="C17" s="11" t="str">
        <x:v>MarketEngagement 聚合表；无记录时为 0</x:v>
      </x:c>
    </x:row>
    <x:row r="18" ht="24" customHeight="1">
      <x:c r="A18" s="11" t="str">
        <x:v>互动使用次数合计</x:v>
      </x:c>
      <x:c r="B18" s="13" t="n">
        <x:f>SUM('Skill清单'!Y5:Y31)+SUM('Agent清单'!T5:T22)</x:f>
        <x:v>0</x:v>
      </x:c>
      <x:c r="C18" s="11" t="str">
        <x:v>MarketEngagement 聚合表；无记录时为 0</x:v>
      </x:c>
    </x:row>
    <x:row r="19" ht="24" customHeight="1">
      <x:c r="A19" s="11" t="str">
        <x:v>互动下载量合计</x:v>
      </x:c>
      <x:c r="B19" s="13" t="n">
        <x:f>SUM('Skill清单'!AB5:AB31)+SUM('Agent清单'!W5:W22)</x:f>
        <x:v>3</x:v>
      </x:c>
      <x:c r="C19" s="11" t="str">
        <x:v>MarketEngagement 聚合表；无记录时为 0</x:v>
      </x:c>
    </x:row>
  </x:sheetData>
  <x:mergeCells>
    <x:mergeCell ref="A1:H1"/>
    <x:mergeCell ref="A2:H2"/>
    <x:mergeCell ref="E11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20" hidden="0" customWidth="1"/>
    <x:col min="4" max="4" width="18" hidden="0" customWidth="1"/>
    <x:col min="5" max="5" width="12" hidden="0" customWidth="1"/>
    <x:col min="6" max="6" width="12" hidden="0" customWidth="1"/>
    <x:col min="7" max="7" width="14" hidden="0" customWidth="1"/>
    <x:col min="8" max="8" width="16" hidden="0" customWidth="1"/>
    <x:col min="9" max="9" width="12" hidden="0" customWidth="1"/>
    <x:col min="10" max="10" width="14" hidden="0" customWidth="1"/>
    <x:col min="11" max="11" width="14" hidden="0" customWidth="1"/>
    <x:col min="12" max="12" width="18" hidden="0" customWidth="1"/>
    <x:col min="13" max="13" width="13" hidden="0" customWidth="1"/>
    <x:col min="14" max="14" width="13" hidden="0" customWidth="1"/>
    <x:col min="15" max="15" width="13" hidden="0" customWidth="1"/>
    <x:col min="16" max="16" width="12" hidden="0" customWidth="1"/>
    <x:col min="17" max="17" width="12" hidden="0" customWidth="1"/>
    <x:col min="18" max="18" width="10" hidden="0" customWidth="1"/>
    <x:col min="19" max="19" width="10" hidden="0" customWidth="1"/>
    <x:col min="20" max="20" width="18" hidden="0" customWidth="1"/>
    <x:col min="21" max="21" width="10" hidden="0" customWidth="1"/>
    <x:col min="22" max="22" width="12" hidden="0" customWidth="1"/>
    <x:col min="23" max="23" width="10" hidden="0" customWidth="1"/>
    <x:col min="24" max="24" width="12" hidden="0" customWidth="1"/>
    <x:col min="25" max="25" width="12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20" hidden="0" customWidth="1"/>
    <x:col min="31" max="31" width="24" hidden="0" customWidth="1"/>
    <x:col min="32" max="32" width="14" hidden="0" customWidth="1"/>
    <x:col min="33" max="33" width="12" hidden="0" customWidth="1"/>
    <x:col min="34" max="34" width="24" hidden="0" customWidth="1"/>
    <x:col min="35" max="35" width="26" hidden="0" customWidth="1"/>
    <x:col min="36" max="36" width="20" hidden="0" customWidth="1"/>
  </x:cols>
  <x:sheetData>
    <x:row r="1" ht="28" customHeight="1">
      <x:c r="A1" s="21" t="str">
        <x:v>Skill 明细 · 当前工作区 marketplace 快照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  <x:c r="AA1" s="21"/>
      <x:c r="AB1" s="21"/>
      <x:c r="AC1" s="21"/>
      <x:c r="AD1" s="21"/>
      <x:c r="AE1" s="21"/>
      <x:c r="AF1" s="21"/>
      <x:c r="AG1" s="21"/>
      <x:c r="AH1" s="21"/>
      <x:c r="AI1" s="21"/>
      <x:c r="AJ1" s="21"/>
    </x:row>
    <x:row r="2" ht="32" customHeight="1">
      <x:c r="A2" s="22" t="str">
        <x:v>工作区：ws-cn-marketing · 共 27 条；互动字段来自 MarketEngagement 聚合表，0 不代表一定没有历史行为。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  <x:c r="AE2" s="22"/>
      <x:c r="AF2" s="22"/>
      <x:c r="AG2" s="22"/>
      <x:c r="AH2" s="22"/>
      <x:c r="AI2" s="22"/>
      <x:c r="AJ2" s="22"/>
    </x:row>
    <x:row r="4" ht="32" customHeight="1">
      <x:c r="A4" s="26" t="str">
        <x:v>序号</x:v>
      </x:c>
      <x:c r="B4" s="26" t="str">
        <x:v>Skill ID</x:v>
      </x:c>
      <x:c r="C4" s="26" t="str">
        <x:v>名称</x:v>
      </x:c>
      <x:c r="D4" s="26" t="str">
        <x:v>英文名称</x:v>
      </x:c>
      <x:c r="E4" s="26" t="str">
        <x:v>分类</x:v>
      </x:c>
      <x:c r="F4" s="26" t="str">
        <x:v>业务场景ID</x:v>
      </x:c>
      <x:c r="G4" s="26" t="str">
        <x:v>业务场景</x:v>
      </x:c>
      <x:c r="H4" s="26" t="str">
        <x:v>调用指令</x:v>
      </x:c>
      <x:c r="I4" s="26" t="str">
        <x:v>版本</x:v>
      </x:c>
      <x:c r="J4" s="26" t="str">
        <x:v>作者</x:v>
      </x:c>
      <x:c r="K4" s="26" t="str">
        <x:v>发布者</x:v>
      </x:c>
      <x:c r="L4" s="26" t="str">
        <x:v>发布者ID</x:v>
      </x:c>
      <x:c r="M4" s="26" t="str">
        <x:v>创建时间</x:v>
      </x:c>
      <x:c r="N4" s="26" t="str">
        <x:v>更新时间</x:v>
      </x:c>
      <x:c r="O4" s="26" t="str">
        <x:v>更新者</x:v>
      </x:c>
      <x:c r="P4" s="26" t="str">
        <x:v>可见范围</x:v>
      </x:c>
      <x:c r="Q4" s="26" t="str">
        <x:v>来源类型</x:v>
      </x:c>
      <x:c r="R4" s="26" t="str">
        <x:v>已发布</x:v>
      </x:c>
      <x:c r="S4" s="26" t="str">
        <x:v>可调用</x:v>
      </x:c>
      <x:c r="T4" s="26" t="str">
        <x:v>可调用字段来源</x:v>
      </x:c>
      <x:c r="U4" s="26" t="str">
        <x:v>精选</x:v>
      </x:c>
      <x:c r="V4" s="26" t="str">
        <x:v>调用次数</x:v>
      </x:c>
      <x:c r="W4" s="26" t="str">
        <x:v>互动记录</x:v>
      </x:c>
      <x:c r="X4" s="26" t="str">
        <x:v>浏览量</x:v>
      </x:c>
      <x:c r="Y4" s="26" t="str">
        <x:v>使用次数</x:v>
      </x:c>
      <x:c r="Z4" s="26" t="str">
        <x:v>点赞</x:v>
      </x:c>
      <x:c r="AA4" s="26" t="str">
        <x:v>点踩</x:v>
      </x:c>
      <x:c r="AB4" s="26" t="str">
        <x:v>下载</x:v>
      </x:c>
      <x:c r="AC4" s="26" t="str">
        <x:v>收藏</x:v>
      </x:c>
      <x:c r="AD4" s="26" t="str">
        <x:v>互动更新时间</x:v>
      </x:c>
      <x:c r="AE4" s="26" t="str">
        <x:v>连接器</x:v>
      </x:c>
      <x:c r="AF4" s="26" t="str">
        <x:v>图标</x:v>
      </x:c>
      <x:c r="AG4" s="26" t="str">
        <x:v>边线色</x:v>
      </x:c>
      <x:c r="AH4" s="26" t="str">
        <x:v>标签</x:v>
      </x:c>
      <x:c r="AI4" s="26" t="str">
        <x:v>搜索关键词</x:v>
      </x:c>
      <x:c r="AJ4" s="26" t="str">
        <x:v>市场快照更新时间</x:v>
      </x:c>
    </x:row>
    <x:row r="5" ht="24" customHeight="1">
      <x:c r="A5" s="28" t="n">
        <x:v>1</x:v>
      </x:c>
      <x:c r="B5" s="28" t="str">
        <x:v>skill-submit-1787192998215</x:v>
      </x:c>
      <x:c r="C5" s="11" t="str">
        <x:v>小语种翻译</x:v>
      </x:c>
      <x:c r="D5" s="11" t="str"/>
      <x:c r="E5" s="11" t="str">
        <x:v>办公提效</x:v>
      </x:c>
      <x:c r="F5" s="11" t="str">
        <x:v>S7</x:v>
      </x:c>
      <x:c r="G5" s="11" t="str">
        <x:v>日常办公</x:v>
      </x:c>
      <x:c r="H5" s="11" t="str">
        <x:v>/mss-translate</x:v>
      </x:c>
      <x:c r="I5" s="28" t="str">
        <x:v>1.0.0</x:v>
      </x:c>
      <x:c r="J5" s="11" t="str">
        <x:v>Mcyo</x:v>
      </x:c>
      <x:c r="K5" s="11" t="str">
        <x:v>Mcyo</x:v>
      </x:c>
      <x:c r="L5" s="11" t="str">
        <x:v>u-mcyo</x:v>
      </x:c>
      <x:c r="M5" s="11" t="str">
        <x:v>​2026-08-20</x:v>
      </x:c>
      <x:c r="N5" s="11" t="str">
        <x:v>​2026-08-20</x:v>
      </x:c>
      <x:c r="O5" s="11" t="str">
        <x:v>Mcyo</x:v>
      </x:c>
      <x:c r="P5" s="11" t="str">
        <x:v>公开可见</x:v>
      </x:c>
      <x:c r="Q5" s="11" t="str">
        <x:v>internal</x:v>
      </x:c>
      <x:c r="R5" s="28" t="str">
        <x:v>是</x:v>
      </x:c>
      <x:c r="S5" s="28" t="str">
        <x:v>是</x:v>
      </x:c>
      <x:c r="T5" s="28" t="str">
        <x:v>原始 callable</x:v>
      </x:c>
      <x:c r="U5" s="11" t="str">
        <x:v>是</x:v>
      </x:c>
      <x:c r="V5" s="28" t="n">
        <x:v>2</x:v>
      </x:c>
      <x:c r="W5" s="28" t="str">
        <x:v>是</x:v>
      </x:c>
      <x:c r="X5" s="28" t="n">
        <x:v>3</x:v>
      </x:c>
      <x:c r="Y5" s="28" t="n">
        <x:v>0</x:v>
      </x:c>
      <x:c r="Z5" s="28" t="n">
        <x:v>0</x:v>
      </x:c>
      <x:c r="AA5" s="28" t="n">
        <x:v>0</x:v>
      </x:c>
      <x:c r="AB5" s="28" t="n">
        <x:v>0</x:v>
      </x:c>
      <x:c r="AC5" s="28" t="n">
        <x:v>0</x:v>
      </x:c>
      <x:c r="AD5" s="11" t="str">
        <x:v>​2026-08-20T13:19:01.718Z</x:v>
      </x:c>
      <x:c r="AE5" s="28" t="str"/>
      <x:c r="AF5" s="28" t="str">
        <x:v>fa-cube</x:v>
      </x:c>
      <x:c r="AG5" s="28" t="str">
        <x:v>#18181b</x:v>
      </x:c>
      <x:c r="AH5" s="11" t="str">
        <x:v>提报</x:v>
      </x:c>
      <x:c r="AI5" s="11" t="str">
        <x:v>mss-translate、MSS、PPTX、Setup、Python、bash、version、dev、null、winget、install、echo</x:v>
      </x:c>
      <x:c r="AJ5" s="28" t="str">
        <x:v>​2026-09-01T03:11:41.453Z</x:v>
      </x:c>
    </x:row>
    <x:row r="6" ht="24" customHeight="1">
      <x:c r="A6" s="28" t="n">
        <x:v>2</x:v>
      </x:c>
      <x:c r="B6" s="28" t="str">
        <x:v>skill-submit-1787131266078</x:v>
      </x:c>
      <x:c r="C6" s="11" t="str">
        <x:v>提报流程验证 Skill</x:v>
      </x:c>
      <x:c r="D6" s="11" t="str"/>
      <x:c r="E6" s="11" t="str">
        <x:v>办公提效</x:v>
      </x:c>
      <x:c r="F6" s="11" t="str">
        <x:v>S1</x:v>
      </x:c>
      <x:c r="G6" s="11" t="str">
        <x:v>市场洞察</x:v>
      </x:c>
      <x:c r="H6" s="11" t="str">
        <x:v>skill-提报流程验证-skill</x:v>
      </x:c>
      <x:c r="I6" s="28" t="str">
        <x:v>1.0.0</x:v>
      </x:c>
      <x:c r="J6" s="11" t="str">
        <x:v>Mcyo</x:v>
      </x:c>
      <x:c r="K6" s="11" t="str">
        <x:v>Mcyo</x:v>
      </x:c>
      <x:c r="L6" s="11" t="str">
        <x:v>u-mcyo</x:v>
      </x:c>
      <x:c r="M6" s="11" t="str"/>
      <x:c r="N6" s="11" t="str">
        <x:v>​2026-08-19</x:v>
      </x:c>
      <x:c r="O6" s="11" t="str">
        <x:v>Mcyo</x:v>
      </x:c>
      <x:c r="P6" s="11" t="str">
        <x:v>组织内</x:v>
      </x:c>
      <x:c r="Q6" s="11" t="str">
        <x:v>internal</x:v>
      </x:c>
      <x:c r="R6" s="28" t="str">
        <x:v>是</x:v>
      </x:c>
      <x:c r="S6" s="28" t="str">
        <x:v>是</x:v>
      </x:c>
      <x:c r="T6" s="28" t="str">
        <x:v>按 published 兼容回填</x:v>
      </x:c>
      <x:c r="U6" s="11" t="str">
        <x:v>是</x:v>
      </x:c>
      <x:c r="V6" s="28" t="n">
        <x:v>0</x:v>
      </x:c>
      <x:c r="W6" s="28" t="str">
        <x:v>是</x:v>
      </x:c>
      <x:c r="X6" s="28" t="n">
        <x:v>0</x:v>
      </x:c>
      <x:c r="Y6" s="28" t="n">
        <x:v>0</x:v>
      </x:c>
      <x:c r="Z6" s="28" t="n">
        <x:v>0</x:v>
      </x:c>
      <x:c r="AA6" s="28" t="n">
        <x:v>0</x:v>
      </x:c>
      <x:c r="AB6" s="28" t="n">
        <x:v>2</x:v>
      </x:c>
      <x:c r="AC6" s="28" t="n">
        <x:v>0</x:v>
      </x:c>
      <x:c r="AD6" s="11" t="str">
        <x:v>​2026-09-01T03:10:44.129Z</x:v>
      </x:c>
      <x:c r="AE6" s="28" t="str"/>
      <x:c r="AF6" s="28" t="str">
        <x:v>fa-cube</x:v>
      </x:c>
      <x:c r="AG6" s="28" t="str">
        <x:v>#18181b</x:v>
      </x:c>
      <x:c r="AH6" s="11" t="str">
        <x:v>提报</x:v>
      </x:c>
      <x:c r="AI6" s="11" t="str">
        <x:v>skill-提报流程验证-skill、提报流程验证</x:v>
      </x:c>
      <x:c r="AJ6" s="28" t="str">
        <x:v>​2026-09-01T03:11:41.453Z</x:v>
      </x:c>
    </x:row>
    <x:row r="7" ht="24" customHeight="1">
      <x:c r="A7" s="28" t="n">
        <x:v>3</x:v>
      </x:c>
      <x:c r="B7" s="28" t="str">
        <x:v>skill-data-analysis</x:v>
      </x:c>
      <x:c r="C7" s="11" t="str">
        <x:v>多源数据分析</x:v>
      </x:c>
      <x:c r="D7" s="11" t="str">
        <x:v>MultiSourceAnalysis</x:v>
      </x:c>
      <x:c r="E7" s="11" t="str">
        <x:v>办公提效</x:v>
      </x:c>
      <x:c r="F7" s="11" t="str">
        <x:v>S8</x:v>
      </x:c>
      <x:c r="G7" s="11" t="str">
        <x:v>数据分析</x:v>
      </x:c>
      <x:c r="H7" s="11" t="str">
        <x:v>/数据分析</x:v>
      </x:c>
      <x:c r="I7" s="28" t="str">
        <x:v>2.0.0</x:v>
      </x:c>
      <x:c r="J7" s="11" t="str">
        <x:v>华为 MSS</x:v>
      </x:c>
      <x:c r="K7" s="11" t="str">
        <x:v>Mcyo</x:v>
      </x:c>
      <x:c r="L7" s="11" t="str">
        <x:v>u-mcyo</x:v>
      </x:c>
      <x:c r="M7" s="11" t="str">
        <x:v>​2026-08-18</x:v>
      </x:c>
      <x:c r="N7" s="11" t="str">
        <x:v>​2026-08-18</x:v>
      </x:c>
      <x:c r="O7" s="11" t="str">
        <x:v>Mcyo</x:v>
      </x:c>
      <x:c r="P7" s="11" t="str">
        <x:v>组织内</x:v>
      </x:c>
      <x:c r="Q7" s="11" t="str">
        <x:v>internal</x:v>
      </x:c>
      <x:c r="R7" s="28" t="str">
        <x:v>是</x:v>
      </x:c>
      <x:c r="S7" s="28" t="str">
        <x:v>是</x:v>
      </x:c>
      <x:c r="T7" s="28" t="str">
        <x:v>按 published 兼容回填</x:v>
      </x:c>
      <x:c r="U7" s="11" t="str">
        <x:v>是</x:v>
      </x:c>
      <x:c r="V7" s="28" t="n">
        <x:v>18400</x:v>
      </x:c>
      <x:c r="W7" s="28" t="str">
        <x:v>否</x:v>
      </x:c>
      <x:c r="X7" s="28" t="n">
        <x:v>0</x:v>
      </x:c>
      <x:c r="Y7" s="28" t="n">
        <x:v>0</x:v>
      </x:c>
      <x:c r="Z7" s="28" t="n">
        <x:v>0</x:v>
      </x:c>
      <x:c r="AA7" s="28" t="n">
        <x:v>0</x:v>
      </x:c>
      <x:c r="AB7" s="28" t="n">
        <x:v>0</x:v>
      </x:c>
      <x:c r="AC7" s="28" t="n">
        <x:v>0</x:v>
      </x:c>
      <x:c r="AD7" s="11" t="str"/>
      <x:c r="AE7" s="28" t="str"/>
      <x:c r="AF7" s="28" t="str">
        <x:v>fa-chart-line</x:v>
      </x:c>
      <x:c r="AG7" s="28" t="str">
        <x:v>#18181b</x:v>
      </x:c>
      <x:c r="AH7" s="11" t="str">
        <x:v>数据分析、ISRP、SO、综履、结算、对账</x:v>
      </x:c>
      <x:c r="AI7" s="11" t="str">
        <x:v>数据分析、ISRP、SO、综履、结算、对账、MultiSourceAnalysis、MSS、TOP3、多源数据分析、办公提效、辅助数据分析</x:v>
      </x:c>
      <x:c r="AJ7" s="28" t="str">
        <x:v>​2026-09-01T03:11:41.453Z</x:v>
      </x:c>
    </x:row>
    <x:row r="8" ht="24" customHeight="1">
      <x:c r="A8" s="28" t="n">
        <x:v>4</x:v>
      </x:c>
      <x:c r="B8" s="28" t="str">
        <x:v>skill-doc-gen</x:v>
      </x:c>
      <x:c r="C8" s="11" t="str">
        <x:v>文档初稿生成</x:v>
      </x:c>
      <x:c r="D8" s="11" t="str">
        <x:v>DocDraftGenerator</x:v>
      </x:c>
      <x:c r="E8" s="11" t="str">
        <x:v>办公提效</x:v>
      </x:c>
      <x:c r="F8" s="11" t="str">
        <x:v>S2</x:v>
      </x:c>
      <x:c r="G8" s="11" t="str">
        <x:v>内容生成</x:v>
      </x:c>
      <x:c r="H8" s="11" t="str">
        <x:v>/文档生成</x:v>
      </x:c>
      <x:c r="I8" s="28" t="str">
        <x:v>1.6.0</x:v>
      </x:c>
      <x:c r="J8" s="11" t="str">
        <x:v>华为 MSS</x:v>
      </x:c>
      <x:c r="K8" s="11" t="str"/>
      <x:c r="L8" s="11" t="str"/>
      <x:c r="M8" s="11" t="str"/>
      <x:c r="N8" s="11" t="str"/>
      <x:c r="O8" s="11" t="str"/>
      <x:c r="P8" s="11" t="str">
        <x:v>组织内</x:v>
      </x:c>
      <x:c r="Q8" s="11" t="str">
        <x:v>internal</x:v>
      </x:c>
      <x:c r="R8" s="28" t="str">
        <x:v>是</x:v>
      </x:c>
      <x:c r="S8" s="28" t="str">
        <x:v>是</x:v>
      </x:c>
      <x:c r="T8" s="28" t="str">
        <x:v>按 published 兼容回填</x:v>
      </x:c>
      <x:c r="U8" s="11" t="str">
        <x:v>是</x:v>
      </x:c>
      <x:c r="V8" s="28" t="n">
        <x:v>9100</x:v>
      </x:c>
      <x:c r="W8" s="28" t="str">
        <x:v>否</x:v>
      </x:c>
      <x:c r="X8" s="28" t="n">
        <x:v>0</x:v>
      </x:c>
      <x:c r="Y8" s="28" t="n">
        <x:v>0</x:v>
      </x:c>
      <x:c r="Z8" s="28" t="n">
        <x:v>0</x:v>
      </x:c>
      <x:c r="AA8" s="28" t="n">
        <x:v>0</x:v>
      </x:c>
      <x:c r="AB8" s="28" t="n">
        <x:v>0</x:v>
      </x:c>
      <x:c r="AC8" s="28" t="n">
        <x:v>0</x:v>
      </x:c>
      <x:c r="AD8" s="11" t="str"/>
      <x:c r="AE8" s="28" t="str">
        <x:v>Doc AI · 对话 Runtime</x:v>
      </x:c>
      <x:c r="AF8" s="28" t="str">
        <x:v>fa-file-lines</x:v>
      </x:c>
      <x:c r="AG8" s="28" t="str"/>
      <x:c r="AH8" s="11" t="str">
        <x:v>文档、初稿</x:v>
      </x:c>
      <x:c r="AI8" s="11" t="str"/>
      <x:c r="AJ8" s="28" t="str">
        <x:v>​2026-09-01T03:11:41.453Z</x:v>
      </x:c>
    </x:row>
    <x:row r="9" ht="24" customHeight="1">
      <x:c r="A9" s="28" t="n">
        <x:v>5</x:v>
      </x:c>
      <x:c r="B9" s="28" t="str">
        <x:v>skill-doc-compliance</x:v>
      </x:c>
      <x:c r="C9" s="11" t="str">
        <x:v>文档合规筛查</x:v>
      </x:c>
      <x:c r="D9" s="11" t="str">
        <x:v>DocComplianceChecker</x:v>
      </x:c>
      <x:c r="E9" s="11" t="str">
        <x:v>办公提效</x:v>
      </x:c>
      <x:c r="F9" s="11" t="str">
        <x:v>S4</x:v>
      </x:c>
      <x:c r="G9" s="11" t="str">
        <x:v>合规结算</x:v>
      </x:c>
      <x:c r="H9" s="11" t="str">
        <x:v>/合规筛查</x:v>
      </x:c>
      <x:c r="I9" s="28" t="str">
        <x:v>1.4.0</x:v>
      </x:c>
      <x:c r="J9" s="11" t="str">
        <x:v>华为 MSS</x:v>
      </x:c>
      <x:c r="K9" s="11" t="str"/>
      <x:c r="L9" s="11" t="str"/>
      <x:c r="M9" s="11" t="str"/>
      <x:c r="N9" s="11" t="str"/>
      <x:c r="O9" s="11" t="str"/>
      <x:c r="P9" s="11" t="str">
        <x:v>组织内</x:v>
      </x:c>
      <x:c r="Q9" s="11" t="str">
        <x:v>internal</x:v>
      </x:c>
      <x:c r="R9" s="28" t="str">
        <x:v>是</x:v>
      </x:c>
      <x:c r="S9" s="28" t="str">
        <x:v>是</x:v>
      </x:c>
      <x:c r="T9" s="28" t="str">
        <x:v>按 published 兼容回填</x:v>
      </x:c>
      <x:c r="U9" s="11" t="str">
        <x:v>是</x:v>
      </x:c>
      <x:c r="V9" s="28" t="n">
        <x:v>6700</x:v>
      </x:c>
      <x:c r="W9" s="28" t="str">
        <x:v>否</x:v>
      </x:c>
      <x:c r="X9" s="28" t="n">
        <x:v>0</x:v>
      </x:c>
      <x:c r="Y9" s="28" t="n">
        <x:v>0</x:v>
      </x:c>
      <x:c r="Z9" s="28" t="n">
        <x:v>0</x:v>
      </x:c>
      <x:c r="AA9" s="28" t="n">
        <x:v>0</x:v>
      </x:c>
      <x:c r="AB9" s="28" t="n">
        <x:v>0</x:v>
      </x:c>
      <x:c r="AC9" s="28" t="n">
        <x:v>0</x:v>
      </x:c>
      <x:c r="AD9" s="11" t="str"/>
      <x:c r="AE9" s="28" t="str">
        <x:v>Doc AI · 对话 Runtime</x:v>
      </x:c>
      <x:c r="AF9" s="28" t="str">
        <x:v>fa-file-shield</x:v>
      </x:c>
      <x:c r="AG9" s="28" t="str"/>
      <x:c r="AH9" s="11" t="str">
        <x:v>合规、医疗用语</x:v>
      </x:c>
      <x:c r="AI9" s="11" t="str"/>
      <x:c r="AJ9" s="28" t="str">
        <x:v>​2026-09-01T03:11:41.453Z</x:v>
      </x:c>
    </x:row>
    <x:row r="10" ht="24" customHeight="1">
      <x:c r="A10" s="28" t="n">
        <x:v>6</x:v>
      </x:c>
      <x:c r="B10" s="28" t="str">
        <x:v>skill-file-archive</x:v>
      </x:c>
      <x:c r="C10" s="11" t="str">
        <x:v>智能文件归档</x:v>
      </x:c>
      <x:c r="D10" s="11" t="str">
        <x:v>SmartFileArchive</x:v>
      </x:c>
      <x:c r="E10" s="11" t="str">
        <x:v>办公提效</x:v>
      </x:c>
      <x:c r="F10" s="11" t="str">
        <x:v>S6</x:v>
      </x:c>
      <x:c r="G10" s="11" t="str">
        <x:v>知识问答</x:v>
      </x:c>
      <x:c r="H10" s="11" t="str">
        <x:v>/文件整理</x:v>
      </x:c>
      <x:c r="I10" s="28" t="str">
        <x:v>1.2.0</x:v>
      </x:c>
      <x:c r="J10" s="11" t="str">
        <x:v>华为 MSS</x:v>
      </x:c>
      <x:c r="K10" s="11" t="str"/>
      <x:c r="L10" s="11" t="str"/>
      <x:c r="M10" s="11" t="str"/>
      <x:c r="N10" s="11" t="str"/>
      <x:c r="O10" s="11" t="str"/>
      <x:c r="P10" s="11" t="str">
        <x:v>组织内</x:v>
      </x:c>
      <x:c r="Q10" s="11" t="str">
        <x:v>internal</x:v>
      </x:c>
      <x:c r="R10" s="28" t="str">
        <x:v>是</x:v>
      </x:c>
      <x:c r="S10" s="28" t="str">
        <x:v>是</x:v>
      </x:c>
      <x:c r="T10" s="28" t="str">
        <x:v>按 published 兼容回填</x:v>
      </x:c>
      <x:c r="U10" s="11" t="str">
        <x:v>是</x:v>
      </x:c>
      <x:c r="V10" s="28" t="n">
        <x:v>4200</x:v>
      </x:c>
      <x:c r="W10" s="28" t="str">
        <x:v>否</x:v>
      </x:c>
      <x:c r="X10" s="28" t="n">
        <x:v>0</x:v>
      </x:c>
      <x:c r="Y10" s="28" t="n">
        <x:v>0</x:v>
      </x:c>
      <x:c r="Z10" s="28" t="n">
        <x:v>0</x:v>
      </x:c>
      <x:c r="AA10" s="28" t="n">
        <x:v>0</x:v>
      </x:c>
      <x:c r="AB10" s="28" t="n">
        <x:v>0</x:v>
      </x:c>
      <x:c r="AC10" s="28" t="n">
        <x:v>0</x:v>
      </x:c>
      <x:c r="AD10" s="11" t="str"/>
      <x:c r="AE10" s="28" t="str">
        <x:v>Onebox/Email · 对话 Runtime</x:v>
      </x:c>
      <x:c r="AF10" s="28" t="str">
        <x:v>fa-folder-tree</x:v>
      </x:c>
      <x:c r="AG10" s="28" t="str"/>
      <x:c r="AH10" s="11" t="str">
        <x:v>归档、总结、知识、指南</x:v>
      </x:c>
      <x:c r="AI10" s="11" t="str"/>
      <x:c r="AJ10" s="28" t="str">
        <x:v>​2026-09-01T03:11:41.453Z</x:v>
      </x:c>
    </x:row>
    <x:row r="11" ht="24" customHeight="1">
      <x:c r="A11" s="28" t="n">
        <x:v>7</x:v>
      </x:c>
      <x:c r="B11" s="28" t="str">
        <x:v>skill-ppt-gen</x:v>
      </x:c>
      <x:c r="C11" s="11" t="str">
        <x:v>PPT 自动生成</x:v>
      </x:c>
      <x:c r="D11" s="11" t="str">
        <x:v>PPTAutoGenerator</x:v>
      </x:c>
      <x:c r="E11" s="11" t="str">
        <x:v>办公提效</x:v>
      </x:c>
      <x:c r="F11" s="11" t="str">
        <x:v>S2</x:v>
      </x:c>
      <x:c r="G11" s="11" t="str">
        <x:v>内容生成</x:v>
      </x:c>
      <x:c r="H11" s="11" t="str">
        <x:v>/ppt</x:v>
      </x:c>
      <x:c r="I11" s="28" t="str">
        <x:v>1.0.0</x:v>
      </x:c>
      <x:c r="J11" s="11" t="str">
        <x:v>华为 MSS</x:v>
      </x:c>
      <x:c r="K11" s="11" t="str"/>
      <x:c r="L11" s="11" t="str"/>
      <x:c r="M11" s="11" t="str"/>
      <x:c r="N11" s="11" t="str"/>
      <x:c r="O11" s="11" t="str"/>
      <x:c r="P11" s="11" t="str">
        <x:v>组织内</x:v>
      </x:c>
      <x:c r="Q11" s="11" t="str">
        <x:v>internal</x:v>
      </x:c>
      <x:c r="R11" s="28" t="str">
        <x:v>是</x:v>
      </x:c>
      <x:c r="S11" s="28" t="str">
        <x:v>是</x:v>
      </x:c>
      <x:c r="T11" s="28" t="str">
        <x:v>按 published 兼容回填</x:v>
      </x:c>
      <x:c r="U11" s="11" t="str">
        <x:v>是</x:v>
      </x:c>
      <x:c r="V11" s="28" t="n">
        <x:v>3100</x:v>
      </x:c>
      <x:c r="W11" s="28" t="str">
        <x:v>否</x:v>
      </x:c>
      <x:c r="X11" s="28" t="n">
        <x:v>0</x:v>
      </x:c>
      <x:c r="Y11" s="28" t="n">
        <x:v>0</x:v>
      </x:c>
      <x:c r="Z11" s="28" t="n">
        <x:v>0</x:v>
      </x:c>
      <x:c r="AA11" s="28" t="n">
        <x:v>0</x:v>
      </x:c>
      <x:c r="AB11" s="28" t="n">
        <x:v>0</x:v>
      </x:c>
      <x:c r="AC11" s="28" t="n">
        <x:v>0</x:v>
      </x:c>
      <x:c r="AD11" s="11" t="str"/>
      <x:c r="AE11" s="28" t="str">
        <x:v>Office Runtime · 对话 Runtime</x:v>
      </x:c>
      <x:c r="AF11" s="28" t="str">
        <x:v>fa-file-powerpoint</x:v>
      </x:c>
      <x:c r="AG11" s="28" t="str"/>
      <x:c r="AH11" s="11" t="str">
        <x:v>PPT、汇报</x:v>
      </x:c>
      <x:c r="AI11" s="11" t="str"/>
      <x:c r="AJ11" s="28" t="str">
        <x:v>​2026-09-01T03:11:41.453Z</x:v>
      </x:c>
    </x:row>
    <x:row r="12" ht="24" customHeight="1">
      <x:c r="A12" s="28" t="n">
        <x:v>8</x:v>
      </x:c>
      <x:c r="B12" s="28" t="str">
        <x:v>skill-meeting-minutes</x:v>
      </x:c>
      <x:c r="C12" s="11" t="str">
        <x:v>会议纪要生成</x:v>
      </x:c>
      <x:c r="D12" s="11" t="str">
        <x:v>MeetingMinutesGen</x:v>
      </x:c>
      <x:c r="E12" s="11" t="str">
        <x:v>办公提效</x:v>
      </x:c>
      <x:c r="F12" s="11" t="str">
        <x:v>S7</x:v>
      </x:c>
      <x:c r="G12" s="11" t="str">
        <x:v>日常办公</x:v>
      </x:c>
      <x:c r="H12" s="11" t="str">
        <x:v>/会议纪要</x:v>
      </x:c>
      <x:c r="I12" s="28" t="str">
        <x:v>2.1.0</x:v>
      </x:c>
      <x:c r="J12" s="11" t="str">
        <x:v>华为 MSS</x:v>
      </x:c>
      <x:c r="K12" s="11" t="str"/>
      <x:c r="L12" s="11" t="str"/>
      <x:c r="M12" s="11" t="str"/>
      <x:c r="N12" s="11" t="str"/>
      <x:c r="O12" s="11" t="str"/>
      <x:c r="P12" s="11" t="str">
        <x:v>组织内</x:v>
      </x:c>
      <x:c r="Q12" s="11" t="str">
        <x:v>internal</x:v>
      </x:c>
      <x:c r="R12" s="28" t="str">
        <x:v>是</x:v>
      </x:c>
      <x:c r="S12" s="28" t="str">
        <x:v>是</x:v>
      </x:c>
      <x:c r="T12" s="28" t="str">
        <x:v>按 published 兼容回填</x:v>
      </x:c>
      <x:c r="U12" s="11" t="str">
        <x:v>是</x:v>
      </x:c>
      <x:c r="V12" s="28" t="n">
        <x:v>12100</x:v>
      </x:c>
      <x:c r="W12" s="28" t="str">
        <x:v>否</x:v>
      </x:c>
      <x:c r="X12" s="28" t="n">
        <x:v>0</x:v>
      </x:c>
      <x:c r="Y12" s="28" t="n">
        <x:v>0</x:v>
      </x:c>
      <x:c r="Z12" s="28" t="n">
        <x:v>0</x:v>
      </x:c>
      <x:c r="AA12" s="28" t="n">
        <x:v>0</x:v>
      </x:c>
      <x:c r="AB12" s="28" t="n">
        <x:v>0</x:v>
      </x:c>
      <x:c r="AC12" s="28" t="n">
        <x:v>0</x:v>
      </x:c>
      <x:c r="AD12" s="11" t="str"/>
      <x:c r="AE12" s="28" t="str">
        <x:v>WeLink · 对话 Runtime</x:v>
      </x:c>
      <x:c r="AF12" s="28" t="str">
        <x:v>fa-clipboard-list</x:v>
      </x:c>
      <x:c r="AG12" s="28" t="str"/>
      <x:c r="AH12" s="11" t="str">
        <x:v>会议、纪要</x:v>
      </x:c>
      <x:c r="AI12" s="11" t="str"/>
      <x:c r="AJ12" s="28" t="str">
        <x:v>​2026-09-01T03:11:41.453Z</x:v>
      </x:c>
    </x:row>
    <x:row r="13" ht="24" customHeight="1">
      <x:c r="A13" s="28" t="n">
        <x:v>9</x:v>
      </x:c>
      <x:c r="B13" s="28" t="str">
        <x:v>skill-work-summary</x:v>
      </x:c>
      <x:c r="C13" s="11" t="str">
        <x:v>个人工作总结</x:v>
      </x:c>
      <x:c r="D13" s="11" t="str">
        <x:v>WorkSummaryGen</x:v>
      </x:c>
      <x:c r="E13" s="11" t="str">
        <x:v>办公提效</x:v>
      </x:c>
      <x:c r="F13" s="11" t="str">
        <x:v>S7</x:v>
      </x:c>
      <x:c r="G13" s="11" t="str">
        <x:v>日常办公</x:v>
      </x:c>
      <x:c r="H13" s="11" t="str">
        <x:v>/工作总结</x:v>
      </x:c>
      <x:c r="I13" s="28" t="str">
        <x:v>1.3.0</x:v>
      </x:c>
      <x:c r="J13" s="11" t="str">
        <x:v>华为 MSS</x:v>
      </x:c>
      <x:c r="K13" s="11" t="str"/>
      <x:c r="L13" s="11" t="str"/>
      <x:c r="M13" s="11" t="str"/>
      <x:c r="N13" s="11" t="str"/>
      <x:c r="O13" s="11" t="str"/>
      <x:c r="P13" s="11" t="str">
        <x:v>组织内</x:v>
      </x:c>
      <x:c r="Q13" s="11" t="str">
        <x:v>internal</x:v>
      </x:c>
      <x:c r="R13" s="28" t="str">
        <x:v>是</x:v>
      </x:c>
      <x:c r="S13" s="28" t="str">
        <x:v>是</x:v>
      </x:c>
      <x:c r="T13" s="28" t="str">
        <x:v>按 published 兼容回填</x:v>
      </x:c>
      <x:c r="U13" s="11" t="str">
        <x:v>是</x:v>
      </x:c>
      <x:c r="V13" s="28" t="n">
        <x:v>5800</x:v>
      </x:c>
      <x:c r="W13" s="28" t="str">
        <x:v>否</x:v>
      </x:c>
      <x:c r="X13" s="28" t="n">
        <x:v>0</x:v>
      </x:c>
      <x:c r="Y13" s="28" t="n">
        <x:v>0</x:v>
      </x:c>
      <x:c r="Z13" s="28" t="n">
        <x:v>0</x:v>
      </x:c>
      <x:c r="AA13" s="28" t="n">
        <x:v>0</x:v>
      </x:c>
      <x:c r="AB13" s="28" t="n">
        <x:v>0</x:v>
      </x:c>
      <x:c r="AC13" s="28" t="n">
        <x:v>0</x:v>
      </x:c>
      <x:c r="AD13" s="11" t="str"/>
      <x:c r="AE13" s="28" t="str">
        <x:v>员工助手 · 对话 Runtime</x:v>
      </x:c>
      <x:c r="AF13" s="28" t="str">
        <x:v>fa-file-pen</x:v>
      </x:c>
      <x:c r="AG13" s="28" t="str"/>
      <x:c r="AH13" s="11" t="str">
        <x:v>总结、归档</x:v>
      </x:c>
      <x:c r="AI13" s="11" t="str"/>
      <x:c r="AJ13" s="28" t="str">
        <x:v>​2026-09-01T03:11:41.453Z</x:v>
      </x:c>
    </x:row>
    <x:row r="14" ht="24" customHeight="1">
      <x:c r="A14" s="28" t="n">
        <x:v>10</x:v>
      </x:c>
      <x:c r="B14" s="28" t="str">
        <x:v>skill-doc-parser</x:v>
      </x:c>
      <x:c r="C14" s="11" t="str">
        <x:v>文档解析</x:v>
      </x:c>
      <x:c r="D14" s="11" t="str">
        <x:v>DocParser</x:v>
      </x:c>
      <x:c r="E14" s="11" t="str">
        <x:v>办公提效</x:v>
      </x:c>
      <x:c r="F14" s="11" t="str">
        <x:v>S7</x:v>
      </x:c>
      <x:c r="G14" s="11" t="str">
        <x:v>日常办公</x:v>
      </x:c>
      <x:c r="H14" s="11" t="str">
        <x:v>/解析文档</x:v>
      </x:c>
      <x:c r="I14" s="28" t="str">
        <x:v>2.0.0</x:v>
      </x:c>
      <x:c r="J14" s="11" t="str">
        <x:v>华为 MSS</x:v>
      </x:c>
      <x:c r="K14" s="11" t="str"/>
      <x:c r="L14" s="11" t="str"/>
      <x:c r="M14" s="11" t="str"/>
      <x:c r="N14" s="11" t="str"/>
      <x:c r="O14" s="11" t="str"/>
      <x:c r="P14" s="11" t="str">
        <x:v>组织内</x:v>
      </x:c>
      <x:c r="Q14" s="11" t="str">
        <x:v>internal</x:v>
      </x:c>
      <x:c r="R14" s="28" t="str">
        <x:v>是</x:v>
      </x:c>
      <x:c r="S14" s="28" t="str">
        <x:v>是</x:v>
      </x:c>
      <x:c r="T14" s="28" t="str">
        <x:v>按 published 兼容回填</x:v>
      </x:c>
      <x:c r="U14" s="11" t="str">
        <x:v>是</x:v>
      </x:c>
      <x:c r="V14" s="28" t="n">
        <x:v>8900</x:v>
      </x:c>
      <x:c r="W14" s="28" t="str">
        <x:v>否</x:v>
      </x:c>
      <x:c r="X14" s="28" t="n">
        <x:v>0</x:v>
      </x:c>
      <x:c r="Y14" s="28" t="n">
        <x:v>0</x:v>
      </x:c>
      <x:c r="Z14" s="28" t="n">
        <x:v>0</x:v>
      </x:c>
      <x:c r="AA14" s="28" t="n">
        <x:v>0</x:v>
      </x:c>
      <x:c r="AB14" s="28" t="n">
        <x:v>0</x:v>
      </x:c>
      <x:c r="AC14" s="28" t="n">
        <x:v>0</x:v>
      </x:c>
      <x:c r="AD14" s="11" t="str"/>
      <x:c r="AE14" s="28" t="str">
        <x:v>Doc AI · 对话 Runtime</x:v>
      </x:c>
      <x:c r="AF14" s="28" t="str">
        <x:v>fa-file-import</x:v>
      </x:c>
      <x:c r="AG14" s="28" t="str"/>
      <x:c r="AH14" s="11" t="str">
        <x:v>解析、核验、验收、综履</x:v>
      </x:c>
      <x:c r="AI14" s="11" t="str"/>
      <x:c r="AJ14" s="28" t="str">
        <x:v>​2026-09-01T03:11:41.453Z</x:v>
      </x:c>
    </x:row>
    <x:row r="15" ht="24" customHeight="1">
      <x:c r="A15" s="28" t="n">
        <x:v>11</x:v>
      </x:c>
      <x:c r="B15" s="28" t="str">
        <x:v>skill-launch-sentiment</x:v>
      </x:c>
      <x:c r="C15" s="11" t="str">
        <x:v>发布会舆情快报</x:v>
      </x:c>
      <x:c r="D15" s="11" t="str">
        <x:v>LaunchSentimentReport</x:v>
      </x:c>
      <x:c r="E15" s="11" t="str">
        <x:v>管理提效</x:v>
      </x:c>
      <x:c r="F15" s="11" t="str">
        <x:v>S1</x:v>
      </x:c>
      <x:c r="G15" s="11" t="str">
        <x:v>市场洞察</x:v>
      </x:c>
      <x:c r="H15" s="11" t="str">
        <x:v>/舆情快报</x:v>
      </x:c>
      <x:c r="I15" s="28" t="str">
        <x:v>1.5.0</x:v>
      </x:c>
      <x:c r="J15" s="11" t="str">
        <x:v>华为 MSS</x:v>
      </x:c>
      <x:c r="K15" s="11" t="str"/>
      <x:c r="L15" s="11" t="str"/>
      <x:c r="M15" s="11" t="str"/>
      <x:c r="N15" s="11" t="str"/>
      <x:c r="O15" s="11" t="str"/>
      <x:c r="P15" s="11" t="str">
        <x:v>组织内</x:v>
      </x:c>
      <x:c r="Q15" s="11" t="str">
        <x:v>internal</x:v>
      </x:c>
      <x:c r="R15" s="28" t="str">
        <x:v>是</x:v>
      </x:c>
      <x:c r="S15" s="28" t="str">
        <x:v>是</x:v>
      </x:c>
      <x:c r="T15" s="28" t="str">
        <x:v>按 published 兼容回填</x:v>
      </x:c>
      <x:c r="U15" s="11" t="str">
        <x:v>是</x:v>
      </x:c>
      <x:c r="V15" s="28" t="n">
        <x:v>5400</x:v>
      </x:c>
      <x:c r="W15" s="28" t="str">
        <x:v>否</x:v>
      </x:c>
      <x:c r="X15" s="28" t="n">
        <x:v>0</x:v>
      </x:c>
      <x:c r="Y15" s="28" t="n">
        <x:v>0</x:v>
      </x:c>
      <x:c r="Z15" s="28" t="n">
        <x:v>0</x:v>
      </x:c>
      <x:c r="AA15" s="28" t="n">
        <x:v>0</x:v>
      </x:c>
      <x:c r="AB15" s="28" t="n">
        <x:v>0</x:v>
      </x:c>
      <x:c r="AC15" s="28" t="n">
        <x:v>0</x:v>
      </x:c>
      <x:c r="AD15" s="11" t="str"/>
      <x:c r="AE15" s="28" t="str">
        <x:v>Social Listening · 对话 Runtime</x:v>
      </x:c>
      <x:c r="AF15" s="28" t="str">
        <x:v>fa-bullhorn</x:v>
      </x:c>
      <x:c r="AG15" s="28" t="str"/>
      <x:c r="AH15" s="11" t="str">
        <x:v>舆情、发布会</x:v>
      </x:c>
      <x:c r="AI15" s="11" t="str"/>
      <x:c r="AJ15" s="28" t="str">
        <x:v>​2026-09-01T03:11:41.453Z</x:v>
      </x:c>
    </x:row>
    <x:row r="16" ht="24" customHeight="1">
      <x:c r="A16" s="28" t="n">
        <x:v>12</x:v>
      </x:c>
      <x:c r="B16" s="28" t="str">
        <x:v>skill-survey-insight</x:v>
      </x:c>
      <x:c r="C16" s="11" t="str">
        <x:v>问卷洞察分析</x:v>
      </x:c>
      <x:c r="D16" s="11" t="str">
        <x:v>SurveyInsightAnalyzer</x:v>
      </x:c>
      <x:c r="E16" s="11" t="str">
        <x:v>管理提效</x:v>
      </x:c>
      <x:c r="F16" s="11" t="str">
        <x:v>S1</x:v>
      </x:c>
      <x:c r="G16" s="11" t="str">
        <x:v>市场洞察</x:v>
      </x:c>
      <x:c r="H16" s="11" t="str">
        <x:v>/问卷洞察</x:v>
      </x:c>
      <x:c r="I16" s="28" t="str">
        <x:v>1.1.0</x:v>
      </x:c>
      <x:c r="J16" s="11" t="str">
        <x:v>华为 MSS</x:v>
      </x:c>
      <x:c r="K16" s="11" t="str"/>
      <x:c r="L16" s="11" t="str"/>
      <x:c r="M16" s="11" t="str"/>
      <x:c r="N16" s="11" t="str"/>
      <x:c r="O16" s="11" t="str"/>
      <x:c r="P16" s="11" t="str">
        <x:v>组织内</x:v>
      </x:c>
      <x:c r="Q16" s="11" t="str">
        <x:v>internal</x:v>
      </x:c>
      <x:c r="R16" s="28" t="str">
        <x:v>是</x:v>
      </x:c>
      <x:c r="S16" s="28" t="str">
        <x:v>是</x:v>
      </x:c>
      <x:c r="T16" s="28" t="str">
        <x:v>按 published 兼容回填</x:v>
      </x:c>
      <x:c r="U16" s="11" t="str">
        <x:v>是</x:v>
      </x:c>
      <x:c r="V16" s="28" t="n">
        <x:v>2100</x:v>
      </x:c>
      <x:c r="W16" s="28" t="str">
        <x:v>否</x:v>
      </x:c>
      <x:c r="X16" s="28" t="n">
        <x:v>0</x:v>
      </x:c>
      <x:c r="Y16" s="28" t="n">
        <x:v>0</x:v>
      </x:c>
      <x:c r="Z16" s="28" t="n">
        <x:v>0</x:v>
      </x:c>
      <x:c r="AA16" s="28" t="n">
        <x:v>0</x:v>
      </x:c>
      <x:c r="AB16" s="28" t="n">
        <x:v>0</x:v>
      </x:c>
      <x:c r="AC16" s="28" t="n">
        <x:v>0</x:v>
      </x:c>
      <x:c r="AD16" s="11" t="str"/>
      <x:c r="AE16" s="28" t="str">
        <x:v>Survey Hub · 对话 Runtime</x:v>
      </x:c>
      <x:c r="AF16" s="28" t="str">
        <x:v>fa-square-poll-vertical</x:v>
      </x:c>
      <x:c r="AG16" s="28" t="str"/>
      <x:c r="AH16" s="11" t="str">
        <x:v>问卷、MKT</x:v>
      </x:c>
      <x:c r="AI16" s="11" t="str"/>
      <x:c r="AJ16" s="28" t="str">
        <x:v>​2026-09-01T03:11:41.453Z</x:v>
      </x:c>
    </x:row>
    <x:row r="17" ht="24" customHeight="1">
      <x:c r="A17" s="28" t="n">
        <x:v>13</x:v>
      </x:c>
      <x:c r="B17" s="28" t="str">
        <x:v>skill-review-collect</x:v>
      </x:c>
      <x:c r="C17" s="11" t="str">
        <x:v>评分采集</x:v>
      </x:c>
      <x:c r="D17" s="11" t="str"/>
      <x:c r="E17" s="11" t="str">
        <x:v>管理提效</x:v>
      </x:c>
      <x:c r="F17" s="11" t="str">
        <x:v>S1</x:v>
      </x:c>
      <x:c r="G17" s="11" t="str">
        <x:v>市场洞察</x:v>
      </x:c>
      <x:c r="H17" s="11" t="str">
        <x:v>/评论采集</x:v>
      </x:c>
      <x:c r="I17" s="28" t="str">
        <x:v>1.0.0</x:v>
      </x:c>
      <x:c r="J17" s="11" t="str">
        <x:v>华为 MSS</x:v>
      </x:c>
      <x:c r="K17" s="11" t="str"/>
      <x:c r="L17" s="11" t="str"/>
      <x:c r="M17" s="11" t="str"/>
      <x:c r="N17" s="11" t="str"/>
      <x:c r="O17" s="11" t="str"/>
      <x:c r="P17" s="11" t="str">
        <x:v>组织内</x:v>
      </x:c>
      <x:c r="Q17" s="11" t="str">
        <x:v>internal</x:v>
      </x:c>
      <x:c r="R17" s="28" t="str">
        <x:v>是</x:v>
      </x:c>
      <x:c r="S17" s="28" t="str">
        <x:v>是</x:v>
      </x:c>
      <x:c r="T17" s="28" t="str">
        <x:v>按 published 兼容回填</x:v>
      </x:c>
      <x:c r="U17" s="11" t="str">
        <x:v>是</x:v>
      </x:c>
      <x:c r="V17" s="28" t="n">
        <x:v>4200</x:v>
      </x:c>
      <x:c r="W17" s="28" t="str">
        <x:v>否</x:v>
      </x:c>
      <x:c r="X17" s="28" t="n">
        <x:v>0</x:v>
      </x:c>
      <x:c r="Y17" s="28" t="n">
        <x:v>0</x:v>
      </x:c>
      <x:c r="Z17" s="28" t="n">
        <x:v>0</x:v>
      </x:c>
      <x:c r="AA17" s="28" t="n">
        <x:v>0</x:v>
      </x:c>
      <x:c r="AB17" s="28" t="n">
        <x:v>0</x:v>
      </x:c>
      <x:c r="AC17" s="28" t="n">
        <x:v>0</x:v>
      </x:c>
      <x:c r="AD17" s="11" t="str"/>
      <x:c r="AE17" s="28" t="str">
        <x:v>Amazon/Lazada · 对话 Runtime</x:v>
      </x:c>
      <x:c r="AF17" s="28" t="str">
        <x:v>fa-download</x:v>
      </x:c>
      <x:c r="AG17" s="28" t="str"/>
      <x:c r="AH17" s="11" t="str">
        <x:v>评论、电商、采集、订单评论</x:v>
      </x:c>
      <x:c r="AI17" s="11" t="str"/>
      <x:c r="AJ17" s="28" t="str">
        <x:v>​2026-09-01T03:11:41.453Z</x:v>
      </x:c>
    </x:row>
    <x:row r="18" ht="24" customHeight="1">
      <x:c r="A18" s="28" t="n">
        <x:v>14</x:v>
      </x:c>
      <x:c r="B18" s="28" t="str">
        <x:v>skill-review-translate</x:v>
      </x:c>
      <x:c r="C18" s="11" t="str">
        <x:v>评论语种翻译</x:v>
      </x:c>
      <x:c r="D18" s="11" t="str"/>
      <x:c r="E18" s="11" t="str">
        <x:v>管理提效</x:v>
      </x:c>
      <x:c r="F18" s="11" t="str">
        <x:v>S2</x:v>
      </x:c>
      <x:c r="G18" s="11" t="str">
        <x:v>内容生成</x:v>
      </x:c>
      <x:c r="H18" s="11" t="str">
        <x:v>/评论翻译</x:v>
      </x:c>
      <x:c r="I18" s="28" t="str">
        <x:v>1.0.0</x:v>
      </x:c>
      <x:c r="J18" s="11" t="str">
        <x:v>华为 MSS</x:v>
      </x:c>
      <x:c r="K18" s="11" t="str"/>
      <x:c r="L18" s="11" t="str"/>
      <x:c r="M18" s="11" t="str"/>
      <x:c r="N18" s="11" t="str"/>
      <x:c r="O18" s="11" t="str"/>
      <x:c r="P18" s="11" t="str">
        <x:v>组织内</x:v>
      </x:c>
      <x:c r="Q18" s="11" t="str">
        <x:v>internal</x:v>
      </x:c>
      <x:c r="R18" s="28" t="str">
        <x:v>是</x:v>
      </x:c>
      <x:c r="S18" s="28" t="str">
        <x:v>是</x:v>
      </x:c>
      <x:c r="T18" s="28" t="str">
        <x:v>按 published 兼容回填</x:v>
      </x:c>
      <x:c r="U18" s="11" t="str">
        <x:v>是</x:v>
      </x:c>
      <x:c r="V18" s="28" t="n">
        <x:v>3800</x:v>
      </x:c>
      <x:c r="W18" s="28" t="str">
        <x:v>否</x:v>
      </x:c>
      <x:c r="X18" s="28" t="n">
        <x:v>0</x:v>
      </x:c>
      <x:c r="Y18" s="28" t="n">
        <x:v>0</x:v>
      </x:c>
      <x:c r="Z18" s="28" t="n">
        <x:v>0</x:v>
      </x:c>
      <x:c r="AA18" s="28" t="n">
        <x:v>0</x:v>
      </x:c>
      <x:c r="AB18" s="28" t="n">
        <x:v>0</x:v>
      </x:c>
      <x:c r="AC18" s="28" t="n">
        <x:v>0</x:v>
      </x:c>
      <x:c r="AD18" s="11" t="str"/>
      <x:c r="AE18" s="28" t="str">
        <x:v>Translate Runtime · 对话 Runtime</x:v>
      </x:c>
      <x:c r="AF18" s="28" t="str">
        <x:v>fa-language</x:v>
      </x:c>
      <x:c r="AG18" s="28" t="str"/>
      <x:c r="AH18" s="11" t="str">
        <x:v>评论、翻译、本地化、电商</x:v>
      </x:c>
      <x:c r="AI18" s="11" t="str"/>
      <x:c r="AJ18" s="28" t="str">
        <x:v>​2026-09-01T03:11:41.453Z</x:v>
      </x:c>
    </x:row>
    <x:row r="19" ht="24" customHeight="1">
      <x:c r="A19" s="28" t="n">
        <x:v>15</x:v>
      </x:c>
      <x:c r="B19" s="28" t="str">
        <x:v>skill-review-cluster</x:v>
      </x:c>
      <x:c r="C19" s="11" t="str">
        <x:v>订单评论分析</x:v>
      </x:c>
      <x:c r="D19" s="11" t="str"/>
      <x:c r="E19" s="11" t="str">
        <x:v>管理提效</x:v>
      </x:c>
      <x:c r="F19" s="11" t="str">
        <x:v>S1</x:v>
      </x:c>
      <x:c r="G19" s="11" t="str">
        <x:v>市场洞察</x:v>
      </x:c>
      <x:c r="H19" s="11" t="str">
        <x:v>/评论分析</x:v>
      </x:c>
      <x:c r="I19" s="28" t="str">
        <x:v>3.1.0</x:v>
      </x:c>
      <x:c r="J19" s="11" t="str">
        <x:v>华为 MSS</x:v>
      </x:c>
      <x:c r="K19" s="11" t="str"/>
      <x:c r="L19" s="11" t="str"/>
      <x:c r="M19" s="11" t="str"/>
      <x:c r="N19" s="11" t="str"/>
      <x:c r="O19" s="11" t="str"/>
      <x:c r="P19" s="11" t="str">
        <x:v>组织内</x:v>
      </x:c>
      <x:c r="Q19" s="11" t="str">
        <x:v>internal</x:v>
      </x:c>
      <x:c r="R19" s="28" t="str">
        <x:v>是</x:v>
      </x:c>
      <x:c r="S19" s="28" t="str">
        <x:v>是</x:v>
      </x:c>
      <x:c r="T19" s="28" t="str">
        <x:v>按 published 兼容回填</x:v>
      </x:c>
      <x:c r="U19" s="11" t="str">
        <x:v>是</x:v>
      </x:c>
      <x:c r="V19" s="28" t="n">
        <x:v>7600</x:v>
      </x:c>
      <x:c r="W19" s="28" t="str">
        <x:v>否</x:v>
      </x:c>
      <x:c r="X19" s="28" t="n">
        <x:v>0</x:v>
      </x:c>
      <x:c r="Y19" s="28" t="n">
        <x:v>0</x:v>
      </x:c>
      <x:c r="Z19" s="28" t="n">
        <x:v>0</x:v>
      </x:c>
      <x:c r="AA19" s="28" t="n">
        <x:v>0</x:v>
      </x:c>
      <x:c r="AB19" s="28" t="n">
        <x:v>0</x:v>
      </x:c>
      <x:c r="AC19" s="28" t="n">
        <x:v>0</x:v>
      </x:c>
      <x:c r="AD19" s="11" t="str"/>
      <x:c r="AE19" s="28" t="str">
        <x:v>Amazon/Lazada · 对话 Runtime</x:v>
      </x:c>
      <x:c r="AF19" s="28" t="str">
        <x:v>fa-comments</x:v>
      </x:c>
      <x:c r="AG19" s="28" t="str"/>
      <x:c r="AH19" s="11" t="str">
        <x:v>评论、电商、VoC、订单评论、情感</x:v>
      </x:c>
      <x:c r="AI19" s="11" t="str"/>
      <x:c r="AJ19" s="28" t="str">
        <x:v>​2026-09-01T03:11:41.453Z</x:v>
      </x:c>
    </x:row>
    <x:row r="20" ht="24" customHeight="1">
      <x:c r="A20" s="28" t="n">
        <x:v>16</x:v>
      </x:c>
      <x:c r="B20" s="28" t="str">
        <x:v>skill-retail-insight</x:v>
      </x:c>
      <x:c r="C20" s="11" t="str">
        <x:v>零售信息洞察</x:v>
      </x:c>
      <x:c r="D20" s="11" t="str">
        <x:v>RetailInsightPi</x:v>
      </x:c>
      <x:c r="E20" s="11" t="str">
        <x:v>管理提效</x:v>
      </x:c>
      <x:c r="F20" s="11" t="str">
        <x:v>S1</x:v>
      </x:c>
      <x:c r="G20" s="11" t="str">
        <x:v>市场洞察</x:v>
      </x:c>
      <x:c r="H20" s="11" t="str">
        <x:v>/零售洞察</x:v>
      </x:c>
      <x:c r="I20" s="28" t="str">
        <x:v>1.8.0</x:v>
      </x:c>
      <x:c r="J20" s="11" t="str">
        <x:v>华为 MSS</x:v>
      </x:c>
      <x:c r="K20" s="11" t="str"/>
      <x:c r="L20" s="11" t="str"/>
      <x:c r="M20" s="11" t="str"/>
      <x:c r="N20" s="11" t="str"/>
      <x:c r="O20" s="11" t="str"/>
      <x:c r="P20" s="11" t="str">
        <x:v>组织内</x:v>
      </x:c>
      <x:c r="Q20" s="11" t="str">
        <x:v>internal</x:v>
      </x:c>
      <x:c r="R20" s="28" t="str">
        <x:v>是</x:v>
      </x:c>
      <x:c r="S20" s="28" t="str">
        <x:v>是</x:v>
      </x:c>
      <x:c r="T20" s="28" t="str">
        <x:v>按 published 兼容回填</x:v>
      </x:c>
      <x:c r="U20" s="11" t="str">
        <x:v>是</x:v>
      </x:c>
      <x:c r="V20" s="28" t="n">
        <x:v>9800</x:v>
      </x:c>
      <x:c r="W20" s="28" t="str">
        <x:v>否</x:v>
      </x:c>
      <x:c r="X20" s="28" t="n">
        <x:v>0</x:v>
      </x:c>
      <x:c r="Y20" s="28" t="n">
        <x:v>0</x:v>
      </x:c>
      <x:c r="Z20" s="28" t="n">
        <x:v>0</x:v>
      </x:c>
      <x:c r="AA20" s="28" t="n">
        <x:v>0</x:v>
      </x:c>
      <x:c r="AB20" s="28" t="n">
        <x:v>0</x:v>
      </x:c>
      <x:c r="AC20" s="28" t="n">
        <x:v>0</x:v>
      </x:c>
      <x:c r="AD20" s="11" t="str"/>
      <x:c r="AE20" s="28" t="str">
        <x:v>iRetail · 对话 Runtime</x:v>
      </x:c>
      <x:c r="AF20" s="28" t="str">
        <x:v>fa-store</x:v>
      </x:c>
      <x:c r="AG20" s="28" t="str"/>
      <x:c r="AH20" s="11" t="str">
        <x:v>零售、洞察π</x:v>
      </x:c>
      <x:c r="AI20" s="11" t="str"/>
      <x:c r="AJ20" s="28" t="str">
        <x:v>​2026-09-01T03:11:41.453Z</x:v>
      </x:c>
    </x:row>
    <x:row r="21" ht="24" customHeight="1">
      <x:c r="A21" s="28" t="n">
        <x:v>17</x:v>
      </x:c>
      <x:c r="B21" s="28" t="str">
        <x:v>skill-price-monitor</x:v>
      </x:c>
      <x:c r="C21" s="11" t="str">
        <x:v>价格与 Offer 监测</x:v>
      </x:c>
      <x:c r="D21" s="11" t="str">
        <x:v>PriceOfferMonitor</x:v>
      </x:c>
      <x:c r="E21" s="11" t="str">
        <x:v>管理提效</x:v>
      </x:c>
      <x:c r="F21" s="11" t="str">
        <x:v>S1</x:v>
      </x:c>
      <x:c r="G21" s="11" t="str">
        <x:v>市场洞察</x:v>
      </x:c>
      <x:c r="H21" s="11" t="str">
        <x:v>/价格监测</x:v>
      </x:c>
      <x:c r="I21" s="28" t="str">
        <x:v>3.0.1</x:v>
      </x:c>
      <x:c r="J21" s="11" t="str">
        <x:v>华为 MSS</x:v>
      </x:c>
      <x:c r="K21" s="11" t="str"/>
      <x:c r="L21" s="11" t="str"/>
      <x:c r="M21" s="11" t="str"/>
      <x:c r="N21" s="11" t="str"/>
      <x:c r="O21" s="11" t="str"/>
      <x:c r="P21" s="11" t="str">
        <x:v>组织内</x:v>
      </x:c>
      <x:c r="Q21" s="11" t="str">
        <x:v>internal</x:v>
      </x:c>
      <x:c r="R21" s="28" t="str">
        <x:v>是</x:v>
      </x:c>
      <x:c r="S21" s="28" t="str">
        <x:v>是</x:v>
      </x:c>
      <x:c r="T21" s="28" t="str">
        <x:v>按 published 兼容回填</x:v>
      </x:c>
      <x:c r="U21" s="11" t="str">
        <x:v>是</x:v>
      </x:c>
      <x:c r="V21" s="28" t="n">
        <x:v>25600</x:v>
      </x:c>
      <x:c r="W21" s="28" t="str">
        <x:v>否</x:v>
      </x:c>
      <x:c r="X21" s="28" t="n">
        <x:v>0</x:v>
      </x:c>
      <x:c r="Y21" s="28" t="n">
        <x:v>0</x:v>
      </x:c>
      <x:c r="Z21" s="28" t="n">
        <x:v>0</x:v>
      </x:c>
      <x:c r="AA21" s="28" t="n">
        <x:v>0</x:v>
      </x:c>
      <x:c r="AB21" s="28" t="n">
        <x:v>0</x:v>
      </x:c>
      <x:c r="AC21" s="28" t="n">
        <x:v>0</x:v>
      </x:c>
      <x:c r="AD21" s="11" t="str"/>
      <x:c r="AE21" s="28" t="str">
        <x:v>Market Intel · 对话 Runtime</x:v>
      </x:c>
      <x:c r="AF21" s="28" t="str">
        <x:v>fa-tags</x:v>
      </x:c>
      <x:c r="AG21" s="28" t="str"/>
      <x:c r="AH21" s="11" t="str">
        <x:v>价格、offer、价格监测</x:v>
      </x:c>
      <x:c r="AI21" s="11" t="str"/>
      <x:c r="AJ21" s="28" t="str">
        <x:v>​2026-09-01T03:11:41.453Z</x:v>
      </x:c>
    </x:row>
    <x:row r="22" ht="24" customHeight="1">
      <x:c r="A22" s="28" t="n">
        <x:v>18</x:v>
      </x:c>
      <x:c r="B22" s="28" t="str">
        <x:v>skill-so-report</x:v>
      </x:c>
      <x:c r="C22" s="11" t="str">
        <x:v>SO/SI 报表</x:v>
      </x:c>
      <x:c r="D22" s="11" t="str">
        <x:v>SOReportBuilder</x:v>
      </x:c>
      <x:c r="E22" s="11" t="str">
        <x:v>管理提效</x:v>
      </x:c>
      <x:c r="F22" s="11" t="str">
        <x:v>S8</x:v>
      </x:c>
      <x:c r="G22" s="11" t="str">
        <x:v>数据分析</x:v>
      </x:c>
      <x:c r="H22" s="11" t="str">
        <x:v>/so报表</x:v>
      </x:c>
      <x:c r="I22" s="28" t="str">
        <x:v>3.0.1</x:v>
      </x:c>
      <x:c r="J22" s="11" t="str">
        <x:v>华为 MSS</x:v>
      </x:c>
      <x:c r="K22" s="11" t="str"/>
      <x:c r="L22" s="11" t="str"/>
      <x:c r="M22" s="11" t="str"/>
      <x:c r="N22" s="11" t="str"/>
      <x:c r="O22" s="11" t="str"/>
      <x:c r="P22" s="11" t="str">
        <x:v>组织内</x:v>
      </x:c>
      <x:c r="Q22" s="11" t="str">
        <x:v>internal</x:v>
      </x:c>
      <x:c r="R22" s="28" t="str">
        <x:v>是</x:v>
      </x:c>
      <x:c r="S22" s="28" t="str">
        <x:v>是</x:v>
      </x:c>
      <x:c r="T22" s="28" t="str">
        <x:v>按 published 兼容回填</x:v>
      </x:c>
      <x:c r="U22" s="11" t="str">
        <x:v>是</x:v>
      </x:c>
      <x:c r="V22" s="28" t="n">
        <x:v>14300</x:v>
      </x:c>
      <x:c r="W22" s="28" t="str">
        <x:v>否</x:v>
      </x:c>
      <x:c r="X22" s="28" t="n">
        <x:v>0</x:v>
      </x:c>
      <x:c r="Y22" s="28" t="n">
        <x:v>0</x:v>
      </x:c>
      <x:c r="Z22" s="28" t="n">
        <x:v>0</x:v>
      </x:c>
      <x:c r="AA22" s="28" t="n">
        <x:v>0</x:v>
      </x:c>
      <x:c r="AB22" s="28" t="n">
        <x:v>0</x:v>
      </x:c>
      <x:c r="AC22" s="28" t="n">
        <x:v>0</x:v>
      </x:c>
      <x:c r="AD22" s="11" t="str"/>
      <x:c r="AE22" s="28" t="str">
        <x:v>ISRP · 对话 Runtime</x:v>
      </x:c>
      <x:c r="AF22" s="28" t="str">
        <x:v>fa-table</x:v>
      </x:c>
      <x:c r="AG22" s="28" t="str"/>
      <x:c r="AH22" s="11" t="str">
        <x:v>SO、代表处、返利</x:v>
      </x:c>
      <x:c r="AI22" s="11" t="str"/>
      <x:c r="AJ22" s="28" t="str">
        <x:v>​2026-09-01T03:11:41.453Z</x:v>
      </x:c>
    </x:row>
    <x:row r="23" ht="24" customHeight="1">
      <x:c r="A23" s="28" t="n">
        <x:v>19</x:v>
      </x:c>
      <x:c r="B23" s="28" t="str">
        <x:v>skill-jd-parser</x:v>
      </x:c>
      <x:c r="C23" s="11" t="str">
        <x:v>JD 解析</x:v>
      </x:c>
      <x:c r="D23" s="11" t="str">
        <x:v>JDParser</x:v>
      </x:c>
      <x:c r="E23" s="11" t="str">
        <x:v>流程提效</x:v>
      </x:c>
      <x:c r="F23" s="11" t="str">
        <x:v>S7</x:v>
      </x:c>
      <x:c r="G23" s="11" t="str">
        <x:v>日常办公</x:v>
      </x:c>
      <x:c r="H23" s="11" t="str">
        <x:v>/jd解析</x:v>
      </x:c>
      <x:c r="I23" s="28" t="str">
        <x:v>1.0.2</x:v>
      </x:c>
      <x:c r="J23" s="11" t="str">
        <x:v>华为 MSS</x:v>
      </x:c>
      <x:c r="K23" s="11" t="str"/>
      <x:c r="L23" s="11" t="str"/>
      <x:c r="M23" s="11" t="str"/>
      <x:c r="N23" s="11" t="str"/>
      <x:c r="O23" s="11" t="str"/>
      <x:c r="P23" s="11" t="str">
        <x:v>组织内</x:v>
      </x:c>
      <x:c r="Q23" s="11" t="str">
        <x:v>internal</x:v>
      </x:c>
      <x:c r="R23" s="28" t="str">
        <x:v>是</x:v>
      </x:c>
      <x:c r="S23" s="28" t="str">
        <x:v>是</x:v>
      </x:c>
      <x:c r="T23" s="28" t="str">
        <x:v>按 published 兼容回填</x:v>
      </x:c>
      <x:c r="U23" s="11" t="str">
        <x:v>是</x:v>
      </x:c>
      <x:c r="V23" s="28" t="n">
        <x:v>3200</x:v>
      </x:c>
      <x:c r="W23" s="28" t="str">
        <x:v>否</x:v>
      </x:c>
      <x:c r="X23" s="28" t="n">
        <x:v>0</x:v>
      </x:c>
      <x:c r="Y23" s="28" t="n">
        <x:v>0</x:v>
      </x:c>
      <x:c r="Z23" s="28" t="n">
        <x:v>0</x:v>
      </x:c>
      <x:c r="AA23" s="28" t="n">
        <x:v>0</x:v>
      </x:c>
      <x:c r="AB23" s="28" t="n">
        <x:v>0</x:v>
      </x:c>
      <x:c r="AC23" s="28" t="n">
        <x:v>0</x:v>
      </x:c>
      <x:c r="AD23" s="11" t="str"/>
      <x:c r="AE23" s="28" t="str">
        <x:v>HR Hub · 对话 Runtime</x:v>
      </x:c>
      <x:c r="AF23" s="28" t="str">
        <x:v>fa-briefcase</x:v>
      </x:c>
      <x:c r="AG23" s="28" t="str"/>
      <x:c r="AH23" s="11" t="str">
        <x:v>JD、HR</x:v>
      </x:c>
      <x:c r="AI23" s="11" t="str"/>
      <x:c r="AJ23" s="28" t="str">
        <x:v>​2026-09-01T03:11:41.453Z</x:v>
      </x:c>
    </x:row>
    <x:row r="24" ht="24" customHeight="1">
      <x:c r="A24" s="28" t="n">
        <x:v>20</x:v>
      </x:c>
      <x:c r="B24" s="28" t="str">
        <x:v>skill-resume-screen</x:v>
      </x:c>
      <x:c r="C24" s="11" t="str">
        <x:v>简历筛选</x:v>
      </x:c>
      <x:c r="D24" s="11" t="str">
        <x:v>ResumeScreener</x:v>
      </x:c>
      <x:c r="E24" s="11" t="str">
        <x:v>流程提效</x:v>
      </x:c>
      <x:c r="F24" s="11" t="str">
        <x:v>S7</x:v>
      </x:c>
      <x:c r="G24" s="11" t="str">
        <x:v>日常办公</x:v>
      </x:c>
      <x:c r="H24" s="11" t="str">
        <x:v>/简历筛选</x:v>
      </x:c>
      <x:c r="I24" s="28" t="str">
        <x:v>1.4.0</x:v>
      </x:c>
      <x:c r="J24" s="11" t="str">
        <x:v>华为 MSS</x:v>
      </x:c>
      <x:c r="K24" s="11" t="str"/>
      <x:c r="L24" s="11" t="str"/>
      <x:c r="M24" s="11" t="str"/>
      <x:c r="N24" s="11" t="str"/>
      <x:c r="O24" s="11" t="str"/>
      <x:c r="P24" s="11" t="str">
        <x:v>组织内</x:v>
      </x:c>
      <x:c r="Q24" s="11" t="str">
        <x:v>internal</x:v>
      </x:c>
      <x:c r="R24" s="28" t="str">
        <x:v>是</x:v>
      </x:c>
      <x:c r="S24" s="28" t="str">
        <x:v>是</x:v>
      </x:c>
      <x:c r="T24" s="28" t="str">
        <x:v>按 published 兼容回填</x:v>
      </x:c>
      <x:c r="U24" s="11" t="str">
        <x:v>是</x:v>
      </x:c>
      <x:c r="V24" s="28" t="n">
        <x:v>4100</x:v>
      </x:c>
      <x:c r="W24" s="28" t="str">
        <x:v>否</x:v>
      </x:c>
      <x:c r="X24" s="28" t="n">
        <x:v>0</x:v>
      </x:c>
      <x:c r="Y24" s="28" t="n">
        <x:v>0</x:v>
      </x:c>
      <x:c r="Z24" s="28" t="n">
        <x:v>0</x:v>
      </x:c>
      <x:c r="AA24" s="28" t="n">
        <x:v>0</x:v>
      </x:c>
      <x:c r="AB24" s="28" t="n">
        <x:v>0</x:v>
      </x:c>
      <x:c r="AC24" s="28" t="n">
        <x:v>0</x:v>
      </x:c>
      <x:c r="AD24" s="11" t="str"/>
      <x:c r="AE24" s="28" t="str">
        <x:v>HR Hub · 对话 Runtime</x:v>
      </x:c>
      <x:c r="AF24" s="28" t="str">
        <x:v>fa-user-check</x:v>
      </x:c>
      <x:c r="AG24" s="28" t="str"/>
      <x:c r="AH24" s="11" t="str">
        <x:v>简历、HR</x:v>
      </x:c>
      <x:c r="AI24" s="11" t="str"/>
      <x:c r="AJ24" s="28" t="str">
        <x:v>​2026-09-01T03:11:41.453Z</x:v>
      </x:c>
    </x:row>
    <x:row r="25" ht="24" customHeight="1">
      <x:c r="A25" s="28" t="n">
        <x:v>21</x:v>
      </x:c>
      <x:c r="B25" s="28" t="str">
        <x:v>skill-interview-analysis</x:v>
      </x:c>
      <x:c r="C25" s="11" t="str">
        <x:v>面试分析</x:v>
      </x:c>
      <x:c r="D25" s="11" t="str">
        <x:v>InterviewAnalyzer</x:v>
      </x:c>
      <x:c r="E25" s="11" t="str">
        <x:v>流程提效</x:v>
      </x:c>
      <x:c r="F25" s="11" t="str">
        <x:v>S7</x:v>
      </x:c>
      <x:c r="G25" s="11" t="str">
        <x:v>日常办公</x:v>
      </x:c>
      <x:c r="H25" s="11" t="str">
        <x:v>/面试分析</x:v>
      </x:c>
      <x:c r="I25" s="28" t="str">
        <x:v>1.2.0</x:v>
      </x:c>
      <x:c r="J25" s="11" t="str">
        <x:v>华为 MSS</x:v>
      </x:c>
      <x:c r="K25" s="11" t="str"/>
      <x:c r="L25" s="11" t="str"/>
      <x:c r="M25" s="11" t="str"/>
      <x:c r="N25" s="11" t="str"/>
      <x:c r="O25" s="11" t="str"/>
      <x:c r="P25" s="11" t="str">
        <x:v>组织内</x:v>
      </x:c>
      <x:c r="Q25" s="11" t="str">
        <x:v>internal</x:v>
      </x:c>
      <x:c r="R25" s="28" t="str">
        <x:v>是</x:v>
      </x:c>
      <x:c r="S25" s="28" t="str">
        <x:v>是</x:v>
      </x:c>
      <x:c r="T25" s="28" t="str">
        <x:v>按 published 兼容回填</x:v>
      </x:c>
      <x:c r="U25" s="11" t="str">
        <x:v>是</x:v>
      </x:c>
      <x:c r="V25" s="28" t="n">
        <x:v>2800</x:v>
      </x:c>
      <x:c r="W25" s="28" t="str">
        <x:v>否</x:v>
      </x:c>
      <x:c r="X25" s="28" t="n">
        <x:v>0</x:v>
      </x:c>
      <x:c r="Y25" s="28" t="n">
        <x:v>0</x:v>
      </x:c>
      <x:c r="Z25" s="28" t="n">
        <x:v>0</x:v>
      </x:c>
      <x:c r="AA25" s="28" t="n">
        <x:v>0</x:v>
      </x:c>
      <x:c r="AB25" s="28" t="n">
        <x:v>0</x:v>
      </x:c>
      <x:c r="AC25" s="28" t="n">
        <x:v>0</x:v>
      </x:c>
      <x:c r="AD25" s="11" t="str"/>
      <x:c r="AE25" s="28" t="str">
        <x:v>HR Hub · 对话 Runtime</x:v>
      </x:c>
      <x:c r="AF25" s="28" t="str">
        <x:v>fa-user-pen</x:v>
      </x:c>
      <x:c r="AG25" s="28" t="str"/>
      <x:c r="AH25" s="11" t="str">
        <x:v>面试、HR</x:v>
      </x:c>
      <x:c r="AI25" s="11" t="str"/>
      <x:c r="AJ25" s="28" t="str">
        <x:v>​2026-09-01T03:11:41.453Z</x:v>
      </x:c>
    </x:row>
    <x:row r="26" ht="24" customHeight="1">
      <x:c r="A26" s="28" t="n">
        <x:v>22</x:v>
      </x:c>
      <x:c r="B26" s="28" t="str">
        <x:v>skill-training-gen</x:v>
      </x:c>
      <x:c r="C26" s="11" t="str">
        <x:v>培训内容生成</x:v>
      </x:c>
      <x:c r="D26" s="11" t="str">
        <x:v>TrainingContentGen</x:v>
      </x:c>
      <x:c r="E26" s="11" t="str">
        <x:v>流程提效</x:v>
      </x:c>
      <x:c r="F26" s="11" t="str">
        <x:v>S3</x:v>
      </x:c>
      <x:c r="G26" s="11" t="str">
        <x:v>销售赋能</x:v>
      </x:c>
      <x:c r="H26" s="11" t="str">
        <x:v>/培训内容</x:v>
      </x:c>
      <x:c r="I26" s="28" t="str">
        <x:v>1.6.0</x:v>
      </x:c>
      <x:c r="J26" s="11" t="str">
        <x:v>华为 MSS</x:v>
      </x:c>
      <x:c r="K26" s="11" t="str"/>
      <x:c r="L26" s="11" t="str"/>
      <x:c r="M26" s="11" t="str"/>
      <x:c r="N26" s="11" t="str"/>
      <x:c r="O26" s="11" t="str"/>
      <x:c r="P26" s="11" t="str">
        <x:v>组织内</x:v>
      </x:c>
      <x:c r="Q26" s="11" t="str">
        <x:v>internal</x:v>
      </x:c>
      <x:c r="R26" s="28" t="str">
        <x:v>是</x:v>
      </x:c>
      <x:c r="S26" s="28" t="str">
        <x:v>是</x:v>
      </x:c>
      <x:c r="T26" s="28" t="str">
        <x:v>按 published 兼容回填</x:v>
      </x:c>
      <x:c r="U26" s="11" t="str">
        <x:v>是</x:v>
      </x:c>
      <x:c r="V26" s="28" t="n">
        <x:v>4900</x:v>
      </x:c>
      <x:c r="W26" s="28" t="str">
        <x:v>否</x:v>
      </x:c>
      <x:c r="X26" s="28" t="n">
        <x:v>0</x:v>
      </x:c>
      <x:c r="Y26" s="28" t="n">
        <x:v>0</x:v>
      </x:c>
      <x:c r="Z26" s="28" t="n">
        <x:v>0</x:v>
      </x:c>
      <x:c r="AA26" s="28" t="n">
        <x:v>0</x:v>
      </x:c>
      <x:c r="AB26" s="28" t="n">
        <x:v>0</x:v>
      </x:c>
      <x:c r="AC26" s="28" t="n">
        <x:v>0</x:v>
      </x:c>
      <x:c r="AD26" s="11" t="str"/>
      <x:c r="AE26" s="28" t="str">
        <x:v>LMS · 对话 Runtime</x:v>
      </x:c>
      <x:c r="AF26" s="28" t="str">
        <x:v>fa-chalkboard-user</x:v>
      </x:c>
      <x:c r="AG26" s="28" t="str"/>
      <x:c r="AH26" s="11" t="str">
        <x:v>培训、Nova</x:v>
      </x:c>
      <x:c r="AI26" s="11" t="str"/>
      <x:c r="AJ26" s="28" t="str">
        <x:v>​2026-09-01T03:11:41.453Z</x:v>
      </x:c>
    </x:row>
    <x:row r="27" ht="24" customHeight="1">
      <x:c r="A27" s="28" t="n">
        <x:v>23</x:v>
      </x:c>
      <x:c r="B27" s="28" t="str">
        <x:v>skill-rag</x:v>
      </x:c>
      <x:c r="C27" s="11" t="str">
        <x:v>企业知识检索</x:v>
      </x:c>
      <x:c r="D27" s="11" t="str">
        <x:v>MilvusRetriever</x:v>
      </x:c>
      <x:c r="E27" s="11" t="str">
        <x:v>体验提升</x:v>
      </x:c>
      <x:c r="F27" s="11" t="str">
        <x:v>S6</x:v>
      </x:c>
      <x:c r="G27" s="11" t="str">
        <x:v>知识问答</x:v>
      </x:c>
      <x:c r="H27" s="11" t="str">
        <x:v>/检索</x:v>
      </x:c>
      <x:c r="I27" s="28" t="str">
        <x:v>2.5.0</x:v>
      </x:c>
      <x:c r="J27" s="11" t="str">
        <x:v>华为 MSS</x:v>
      </x:c>
      <x:c r="K27" s="11" t="str"/>
      <x:c r="L27" s="11" t="str"/>
      <x:c r="M27" s="11" t="str"/>
      <x:c r="N27" s="11" t="str"/>
      <x:c r="O27" s="11" t="str"/>
      <x:c r="P27" s="11" t="str">
        <x:v>组织内</x:v>
      </x:c>
      <x:c r="Q27" s="11" t="str">
        <x:v>internal</x:v>
      </x:c>
      <x:c r="R27" s="28" t="str">
        <x:v>是</x:v>
      </x:c>
      <x:c r="S27" s="28" t="str">
        <x:v>是</x:v>
      </x:c>
      <x:c r="T27" s="28" t="str">
        <x:v>按 published 兼容回填</x:v>
      </x:c>
      <x:c r="U27" s="11" t="str">
        <x:v>是</x:v>
      </x:c>
      <x:c r="V27" s="28" t="n">
        <x:v>19800</x:v>
      </x:c>
      <x:c r="W27" s="28" t="str">
        <x:v>否</x:v>
      </x:c>
      <x:c r="X27" s="28" t="n">
        <x:v>0</x:v>
      </x:c>
      <x:c r="Y27" s="28" t="n">
        <x:v>0</x:v>
      </x:c>
      <x:c r="Z27" s="28" t="n">
        <x:v>0</x:v>
      </x:c>
      <x:c r="AA27" s="28" t="n">
        <x:v>0</x:v>
      </x:c>
      <x:c r="AB27" s="28" t="n">
        <x:v>0</x:v>
      </x:c>
      <x:c r="AC27" s="28" t="n">
        <x:v>0</x:v>
      </x:c>
      <x:c r="AD27" s="11" t="str"/>
      <x:c r="AE27" s="28" t="str">
        <x:v>Milvus · 对话 Runtime</x:v>
      </x:c>
      <x:c r="AF27" s="28" t="str">
        <x:v>fa-database</x:v>
      </x:c>
      <x:c r="AG27" s="28" t="str"/>
      <x:c r="AH27" s="11" t="str">
        <x:v>RAG、知识库、知识、归档</x:v>
      </x:c>
      <x:c r="AI27" s="11" t="str"/>
      <x:c r="AJ27" s="28" t="str">
        <x:v>​2026-09-01T03:11:41.453Z</x:v>
      </x:c>
    </x:row>
    <x:row r="28" ht="24" customHeight="1">
      <x:c r="A28" s="28" t="n">
        <x:v>24</x:v>
      </x:c>
      <x:c r="B28" s="28" t="str">
        <x:v>skill-rerank</x:v>
      </x:c>
      <x:c r="C28" s="11" t="str">
        <x:v>检索重排序</x:v>
      </x:c>
      <x:c r="D28" s="11" t="str">
        <x:v>CrossEncoderReranker</x:v>
      </x:c>
      <x:c r="E28" s="11" t="str">
        <x:v>体验提升</x:v>
      </x:c>
      <x:c r="F28" s="11" t="str">
        <x:v>S6</x:v>
      </x:c>
      <x:c r="G28" s="11" t="str">
        <x:v>知识问答</x:v>
      </x:c>
      <x:c r="H28" s="11" t="str">
        <x:v>/rerank</x:v>
      </x:c>
      <x:c r="I28" s="28" t="str">
        <x:v>1.0.0</x:v>
      </x:c>
      <x:c r="J28" s="11" t="str">
        <x:v>华为 MSS</x:v>
      </x:c>
      <x:c r="K28" s="11" t="str"/>
      <x:c r="L28" s="11" t="str"/>
      <x:c r="M28" s="11" t="str"/>
      <x:c r="N28" s="11" t="str"/>
      <x:c r="O28" s="11" t="str"/>
      <x:c r="P28" s="11" t="str">
        <x:v>组织内</x:v>
      </x:c>
      <x:c r="Q28" s="11" t="str">
        <x:v>internal</x:v>
      </x:c>
      <x:c r="R28" s="28" t="str">
        <x:v>是</x:v>
      </x:c>
      <x:c r="S28" s="28" t="str">
        <x:v>是</x:v>
      </x:c>
      <x:c r="T28" s="28" t="str">
        <x:v>按 published 兼容回填</x:v>
      </x:c>
      <x:c r="U28" s="11" t="str">
        <x:v>是</x:v>
      </x:c>
      <x:c r="V28" s="28" t="n">
        <x:v>6200</x:v>
      </x:c>
      <x:c r="W28" s="28" t="str">
        <x:v>否</x:v>
      </x:c>
      <x:c r="X28" s="28" t="n">
        <x:v>0</x:v>
      </x:c>
      <x:c r="Y28" s="28" t="n">
        <x:v>0</x:v>
      </x:c>
      <x:c r="Z28" s="28" t="n">
        <x:v>0</x:v>
      </x:c>
      <x:c r="AA28" s="28" t="n">
        <x:v>0</x:v>
      </x:c>
      <x:c r="AB28" s="28" t="n">
        <x:v>0</x:v>
      </x:c>
      <x:c r="AC28" s="28" t="n">
        <x:v>0</x:v>
      </x:c>
      <x:c r="AD28" s="11" t="str"/>
      <x:c r="AE28" s="28" t="str">
        <x:v>Model Hub · 对话 Runtime</x:v>
      </x:c>
      <x:c r="AF28" s="28" t="str">
        <x:v>fa-sort-amount-down</x:v>
      </x:c>
      <x:c r="AG28" s="28" t="str"/>
      <x:c r="AH28" s="11" t="str">
        <x:v>RAG</x:v>
      </x:c>
      <x:c r="AI28" s="11" t="str"/>
      <x:c r="AJ28" s="28" t="str">
        <x:v>​2026-09-01T03:11:41.453Z</x:v>
      </x:c>
    </x:row>
    <x:row r="29" ht="24" customHeight="1">
      <x:c r="A29" s="28" t="n">
        <x:v>25</x:v>
      </x:c>
      <x:c r="B29" s="28" t="str">
        <x:v>skill-retail-coach</x:v>
      </x:c>
      <x:c r="C29" s="11" t="str">
        <x:v>零售 AI 陪练</x:v>
      </x:c>
      <x:c r="D29" s="11" t="str">
        <x:v>RetailAICoach</x:v>
      </x:c>
      <x:c r="E29" s="11" t="str">
        <x:v>体验提升</x:v>
      </x:c>
      <x:c r="F29" s="11" t="str">
        <x:v>S3</x:v>
      </x:c>
      <x:c r="G29" s="11" t="str">
        <x:v>销售赋能</x:v>
      </x:c>
      <x:c r="H29" s="11" t="str">
        <x:v>/陪练</x:v>
      </x:c>
      <x:c r="I29" s="28" t="str">
        <x:v>1.1.0</x:v>
      </x:c>
      <x:c r="J29" s="11" t="str">
        <x:v>华为 MSS</x:v>
      </x:c>
      <x:c r="K29" s="11" t="str"/>
      <x:c r="L29" s="11" t="str"/>
      <x:c r="M29" s="11" t="str"/>
      <x:c r="N29" s="11" t="str"/>
      <x:c r="O29" s="11" t="str"/>
      <x:c r="P29" s="11" t="str">
        <x:v>组织内</x:v>
      </x:c>
      <x:c r="Q29" s="11" t="str">
        <x:v>internal</x:v>
      </x:c>
      <x:c r="R29" s="28" t="str">
        <x:v>是</x:v>
      </x:c>
      <x:c r="S29" s="28" t="str">
        <x:v>是</x:v>
      </x:c>
      <x:c r="T29" s="28" t="str">
        <x:v>按 published 兼容回填</x:v>
      </x:c>
      <x:c r="U29" s="11" t="str">
        <x:v>是</x:v>
      </x:c>
      <x:c r="V29" s="28" t="n">
        <x:v>3600</x:v>
      </x:c>
      <x:c r="W29" s="28" t="str">
        <x:v>否</x:v>
      </x:c>
      <x:c r="X29" s="28" t="n">
        <x:v>0</x:v>
      </x:c>
      <x:c r="Y29" s="28" t="n">
        <x:v>0</x:v>
      </x:c>
      <x:c r="Z29" s="28" t="n">
        <x:v>0</x:v>
      </x:c>
      <x:c r="AA29" s="28" t="n">
        <x:v>0</x:v>
      </x:c>
      <x:c r="AB29" s="28" t="n">
        <x:v>0</x:v>
      </x:c>
      <x:c r="AC29" s="28" t="n">
        <x:v>0</x:v>
      </x:c>
      <x:c r="AD29" s="11" t="str"/>
      <x:c r="AE29" s="28" t="str">
        <x:v>LMS · 对话 Runtime</x:v>
      </x:c>
      <x:c r="AF29" s="28" t="str">
        <x:v>fa-headset</x:v>
      </x:c>
      <x:c r="AG29" s="28" t="str"/>
      <x:c r="AH29" s="11" t="str">
        <x:v>陪练、门店</x:v>
      </x:c>
      <x:c r="AI29" s="11" t="str"/>
      <x:c r="AJ29" s="28" t="str">
        <x:v>​2026-09-01T03:11:41.453Z</x:v>
      </x:c>
    </x:row>
    <x:row r="30" ht="24" customHeight="1">
      <x:c r="A30" s="28" t="n">
        <x:v>26</x:v>
      </x:c>
      <x:c r="B30" s="28" t="str">
        <x:v>skill-complaint-sop</x:v>
      </x:c>
      <x:c r="C30" s="11" t="str">
        <x:v>客诉 SOP 匹配</x:v>
      </x:c>
      <x:c r="D30" s="11" t="str">
        <x:v>ComplaintSOPMatch</x:v>
      </x:c>
      <x:c r="E30" s="11" t="str">
        <x:v>体验提升</x:v>
      </x:c>
      <x:c r="F30" s="11" t="str">
        <x:v>S5</x:v>
      </x:c>
      <x:c r="G30" s="11" t="str">
        <x:v>客户服务</x:v>
      </x:c>
      <x:c r="H30" s="11" t="str">
        <x:v>/客诉</x:v>
      </x:c>
      <x:c r="I30" s="28" t="str">
        <x:v>2.2.0</x:v>
      </x:c>
      <x:c r="J30" s="11" t="str">
        <x:v>华为 MSS</x:v>
      </x:c>
      <x:c r="K30" s="11" t="str"/>
      <x:c r="L30" s="11" t="str"/>
      <x:c r="M30" s="11" t="str"/>
      <x:c r="N30" s="11" t="str"/>
      <x:c r="O30" s="11" t="str"/>
      <x:c r="P30" s="11" t="str">
        <x:v>组织内</x:v>
      </x:c>
      <x:c r="Q30" s="11" t="str">
        <x:v>internal</x:v>
      </x:c>
      <x:c r="R30" s="28" t="str">
        <x:v>是</x:v>
      </x:c>
      <x:c r="S30" s="28" t="str">
        <x:v>是</x:v>
      </x:c>
      <x:c r="T30" s="28" t="str">
        <x:v>按 published 兼容回填</x:v>
      </x:c>
      <x:c r="U30" s="11" t="str">
        <x:v>是</x:v>
      </x:c>
      <x:c r="V30" s="28" t="n">
        <x:v>8300</x:v>
      </x:c>
      <x:c r="W30" s="28" t="str">
        <x:v>否</x:v>
      </x:c>
      <x:c r="X30" s="28" t="n">
        <x:v>0</x:v>
      </x:c>
      <x:c r="Y30" s="28" t="n">
        <x:v>0</x:v>
      </x:c>
      <x:c r="Z30" s="28" t="n">
        <x:v>0</x:v>
      </x:c>
      <x:c r="AA30" s="28" t="n">
        <x:v>0</x:v>
      </x:c>
      <x:c r="AB30" s="28" t="n">
        <x:v>0</x:v>
      </x:c>
      <x:c r="AC30" s="28" t="n">
        <x:v>0</x:v>
      </x:c>
      <x:c r="AD30" s="11" t="str"/>
      <x:c r="AE30" s="28" t="str">
        <x:v>CSC Ticket · 对话 Runtime</x:v>
      </x:c>
      <x:c r="AF30" s="28" t="str">
        <x:v>fa-ticket</x:v>
      </x:c>
      <x:c r="AG30" s="28" t="str"/>
      <x:c r="AH30" s="11" t="str">
        <x:v>客诉、SOP</x:v>
      </x:c>
      <x:c r="AI30" s="11" t="str"/>
      <x:c r="AJ30" s="28" t="str">
        <x:v>​2026-09-01T03:11:41.453Z</x:v>
      </x:c>
    </x:row>
    <x:row r="31" ht="24" customHeight="1">
      <x:c r="A31" s="28" t="n">
        <x:v>27</x:v>
      </x:c>
      <x:c r="B31" s="28" t="str">
        <x:v>skill-wecom</x:v>
      </x:c>
      <x:c r="C31" s="11" t="str">
        <x:v>企微消息推送</x:v>
      </x:c>
      <x:c r="D31" s="11" t="str">
        <x:v>WeComPush</x:v>
      </x:c>
      <x:c r="E31" s="11" t="str">
        <x:v>体验提升</x:v>
      </x:c>
      <x:c r="F31" s="11" t="str">
        <x:v>S5</x:v>
      </x:c>
      <x:c r="G31" s="11" t="str">
        <x:v>客户服务</x:v>
      </x:c>
      <x:c r="H31" s="11" t="str">
        <x:v>/wecom</x:v>
      </x:c>
      <x:c r="I31" s="28" t="str">
        <x:v>2.0.0</x:v>
      </x:c>
      <x:c r="J31" s="11" t="str">
        <x:v>华为 MSS</x:v>
      </x:c>
      <x:c r="K31" s="11" t="str"/>
      <x:c r="L31" s="11" t="str"/>
      <x:c r="M31" s="11" t="str"/>
      <x:c r="N31" s="11" t="str"/>
      <x:c r="O31" s="11" t="str"/>
      <x:c r="P31" s="11" t="str">
        <x:v>组织内</x:v>
      </x:c>
      <x:c r="Q31" s="11" t="str">
        <x:v>internal</x:v>
      </x:c>
      <x:c r="R31" s="28" t="str">
        <x:v>是</x:v>
      </x:c>
      <x:c r="S31" s="28" t="str">
        <x:v>是</x:v>
      </x:c>
      <x:c r="T31" s="28" t="str">
        <x:v>按 published 兼容回填</x:v>
      </x:c>
      <x:c r="U31" s="11" t="str">
        <x:v>是</x:v>
      </x:c>
      <x:c r="V31" s="28" t="n">
        <x:v>22100</x:v>
      </x:c>
      <x:c r="W31" s="28" t="str">
        <x:v>否</x:v>
      </x:c>
      <x:c r="X31" s="28" t="n">
        <x:v>0</x:v>
      </x:c>
      <x:c r="Y31" s="28" t="n">
        <x:v>0</x:v>
      </x:c>
      <x:c r="Z31" s="28" t="n">
        <x:v>0</x:v>
      </x:c>
      <x:c r="AA31" s="28" t="n">
        <x:v>0</x:v>
      </x:c>
      <x:c r="AB31" s="28" t="n">
        <x:v>0</x:v>
      </x:c>
      <x:c r="AC31" s="28" t="n">
        <x:v>0</x:v>
      </x:c>
      <x:c r="AD31" s="11" t="str"/>
      <x:c r="AE31" s="28" t="str">
        <x:v>WeCom API · 对话 Runtime</x:v>
      </x:c>
      <x:c r="AF31" s="28" t="str">
        <x:v>fa-comment-dots</x:v>
      </x:c>
      <x:c r="AG31" s="28" t="str"/>
      <x:c r="AH31" s="11" t="str">
        <x:v>WeCom、推送</x:v>
      </x:c>
      <x:c r="AI31" s="11" t="str"/>
      <x:c r="AJ31" s="28" t="str">
        <x:v>​2026-09-01T03:11:41.453Z</x:v>
      </x:c>
    </x:row>
  </x:sheetData>
  <x:mergeCells>
    <x:mergeCell ref="A1:AJ1"/>
    <x:mergeCell ref="A2:AJ2"/>
  </x:mergeCells>
  <x:pageMargins left="0.7" right="0.7" top="0.75" bottom="0.75" header="0.3" footer="0.3"/>
  <x:tableParts count="1">
    <x:tablePart xmlns:r="http://schemas.openxmlformats.org/officeDocument/2006/relationships" r:id="R9c00a16dc31746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56" hidden="0" customWidth="1"/>
    <x:col min="4" max="4" width="18" hidden="0" customWidth="1"/>
    <x:col min="5" max="5" width="18" hidden="0" customWidth="1"/>
    <x:col min="6" max="6" width="20" hidden="0" customWidth="1"/>
    <x:col min="7" max="7" width="20" hidden="0" customWidth="1"/>
    <x:col min="8" max="8" width="24" hidden="0" customWidth="1"/>
    <x:col min="9" max="9" width="48" hidden="0" customWidth="1"/>
    <x:col min="10" max="10" width="10" hidden="0" customWidth="1"/>
    <x:col min="11" max="11" width="48" hidden="0" customWidth="1"/>
    <x:col min="12" max="12" width="40" hidden="0" customWidth="1"/>
    <x:col min="13" max="13" width="72" hidden="0" customWidth="1"/>
    <x:col min="14" max="14" width="34" hidden="0" customWidth="1"/>
    <x:col min="15" max="15" width="72" hidden="0" customWidth="1"/>
  </x:cols>
  <x:sheetData>
    <x:row r="1" ht="28" customHeight="1">
      <x:c r="A1" s="21" t="str">
        <x:v>Skill 配置与正文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</x:row>
    <x:row r="2" ht="32" customHeight="1">
      <x:c r="A2" s="22" t="str">
        <x:v>长文本按源数据保留；原始 JSON 位于最后一列，packageBlob 仅保留 id/name/size/uploadedAt。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</x:row>
    <x:row r="4" ht="32" customHeight="1">
      <x:c r="A4" s="26" t="str">
        <x:v>Skill ID</x:v>
      </x:c>
      <x:c r="B4" s="26" t="str">
        <x:v>名称</x:v>
      </x:c>
      <x:c r="C4" s="26" t="str">
        <x:v>描述</x:v>
      </x:c>
      <x:c r="D4" s="26" t="str">
        <x:v>归属部门ID</x:v>
      </x:c>
      <x:c r="E4" s="26" t="str">
        <x:v>归属部门</x:v>
      </x:c>
      <x:c r="F4" s="26" t="str">
        <x:v>主区域</x:v>
      </x:c>
      <x:c r="G4" s="26" t="str">
        <x:v>多区域</x:v>
      </x:c>
      <x:c r="H4" s="26" t="str">
        <x:v>场景标签</x:v>
      </x:c>
      <x:c r="I4" s="26" t="str">
        <x:v>计划步骤</x:v>
      </x:c>
      <x:c r="J4" s="26" t="str">
        <x:v>案例数</x:v>
      </x:c>
      <x:c r="K4" s="26" t="str">
        <x:v>案例详情(JSON)</x:v>
      </x:c>
      <x:c r="L4" s="26" t="str">
        <x:v>使用须知</x:v>
      </x:c>
      <x:c r="M4" s="26" t="str">
        <x:v>执行正文</x:v>
      </x:c>
      <x:c r="N4" s="26" t="str">
        <x:v>包元数据(JSON)</x:v>
      </x:c>
      <x:c r="O4" s="26" t="str">
        <x:v>原始 JSON</x:v>
      </x:c>
    </x:row>
    <x:row r="5" ht="82" customHeight="1">
      <x:c r="A5" s="28" t="str">
        <x:v>skill-submit-1787192998215</x:v>
      </x:c>
      <x:c r="B5" s="28" t="str">
        <x:v>小语种翻译</x:v>
      </x:c>
      <x:c r="C5" s="11" t="str">
        <x:v>终端MSS翻译技能 — 支持文本翻译 + PPTX 文档翻译(支持大于100M的文件，输入命令时填写本地文件路径即可），云端+本地双术语表，遵循分析→直译→反思→润色流程</x:v>
      </x:c>
      <x:c r="D5" s="11" t="str">
        <x:v>零售</x:v>
      </x:c>
      <x:c r="E5" s="28" t="str">
        <x:v>retail</x:v>
      </x:c>
      <x:c r="F5" s="11" t="str"/>
      <x:c r="G5" s="11" t="str"/>
      <x:c r="H5" s="11" t="str"/>
      <x:c r="I5" s="11" t="str"/>
      <x:c r="J5" s="11" t="n">
        <x:v>0</x:v>
      </x:c>
      <x:c r="K5" s="11" t="str">
        <x:v>[]</x:v>
      </x:c>
      <x:c r="L5" s="11" t="str"/>
      <x:c r="M5" s="11" t="str">
        <x:v># Setup
Python 和依赖只需安装一次，后续所有会话共用。运行前先检查，已安装则跳过：
```bash
python --version 2&gt;/dev/null || (winget install Python.Python.3 &amp;&amp; echo "请重启终端后重试" &amp;&amp; exit 1)
python -c "import pptx" 2&gt;/dev/null || python -m pip install --trusted-host pypi.org --trusted-host files.pythonhosted.org python-pptx
python -c "import fitz; import pdf2zh" 2&gt;/dev/null || python -m pip install --trusted-host pypi.org --trusted-host files.pythonhosted.org pdf2zh PyMuPDF
```
**注意：每个脚本直接调用，不存在 `translate_file.py`，不要自行创建或使用任何中间调度脚本。**
# Role
你是一位精通 `{target_language}` 的资深翻译。你拥有极强的行业背景，擅长在保持技术绝对严谨的前提下，写出符合当地母语者习惯的高级文案。
# Project Context
- 行业领域：**终端电子产品**
- 目标受众：**本地消费者**
- 语言风格：**本土化、通俗易懂**
# Rules &amp; Constraints（红线要求）
1. **术语一致性**：必须严格遵守 &lt;glossary&gt; 中定义的术语对齐，严禁将专有名词进行文学化意译。
2. **零信息丢失**：原文中的数字、技术指标、变量占位符（如 `{revenue}`）必须 100% 留存，严禁漏译、删减或自我发挥，其中数字格式要符合 `{target_language}` 的习惯。
   - 符号占位符 `⟦S{n}⟧`（代表 Wingdings 等特殊字体字符）必须保留，禁止翻译、删除或改写成 `[S0]`、`[0]` 等变体形式。
   - 选项间的空格数量原样保留，不得折叠或删除。
3. **去翻译腔**：最终译文严禁出现生硬的字面直译，必须符合 `{target_language}` 的语法习惯、语序及文化表达。
4. **输出语言一致性**：`&lt;analysis&gt;`、`&lt;literal_translation&gt;`、`&lt;reflection&gt;`、`&lt;final_output&gt;` 四个标签内的内容全部使用 `{target_language}` 输出，XML 标签名保持英文不变。
   - ✅ 正确示例（目标语言=日语）：`&lt;analysis&gt;このテキストには65Wと30分という数字が含まれています&lt;/analysis&gt;`
   - ❌ 错误示例：`&lt;analysis&gt;这段文本包含65W和30分钟两个数字&lt;/analysis&gt;`
# GLOSSARY（专用术语表）
&lt;glossary&gt;
{glossary}
&lt;/glossary&gt;
# WORKFLOW — 严格三选一，不可同时执行
## 第一步：判断命令类型
第一个参数始终是 `glossary` 或目标语言名称：
- 如果第一个参数是 `glossary` → **进入术语管理模式**，跳过翻译流程
- 否则第一个参数是语言名称 → 检查第二个参数：
  - 如果第二个参数是文件路径（以 `.pdf` 或 `.pptx` 结尾） → **进入文档翻译模式**
  - 否则 → **进入文本翻译模式**
---
## 路径 A：术语管理模式（glossary）
用户输入格式：`/mss-translate glossary &lt;子命令&gt; &lt;参数&gt;`
只做以下操作之一，执行完毕后**立即停止，不再执行任何翻译步骤**。
术语管理**只操作本地术语表**（`glossary.json`），云端术语表为只读，不可通过此命令修改。
### A1. 查看所有术语（list）
- 读取 `glossary.json` 中的 `terms` 字段
- 列出所有已保存的术语
- **到此结束，不再执行其他操作**
### A2. 添加术语（add）
- 解析用户输入的 `source`（原文关键词）和各语言简写对应的翻译
- 格式与云端一致：`{"source": "...", "zh": {"value": "...", "enabled": true}, "ja": ...}`
- 每次写入时将 `enabled` 设为 `true`
- 写入 `glossary.json` 的 `terms` 字段，**不修改云端**
- **到此结束，不再执行其他操作**
### A3. 编辑术语（edit）
- 更新 `glossary.json` 中对应的术语，保持 `enabled: true`
- **到此结束，不再执行其他操作**
### A4. 删除术语（remove）
- 从 `glossary.json` 中移除指定术语
- **到此结束，不再执行其他操作**
### A5. 清空术语（clear）
- 清空 `glossary.json` 的 `terms` 字段
- **到此结束，不再执行其他操作**
---
## 路径 B：文本翻译模式
### B1. 识别目标语言简写
根据 `{target_language}` 识别其语言简写（模型自行判断）：
- `日语` / `Japanese` → `ja`
- `英语` / `English` → `en`
- `西班牙语` / `Spanish` → `es`
- `法语` / `French` → `fr`
- `韩语` / `Korean` → `ko`
- 带地区的如 `西班牙语（墨西哥地区）` → 提取基础语言 `西班牙语` → `es`
### B2. 调用脚本获取术语表
将 `{source_text}` 作为第二参数传入，脚本只输出原文中实际出现的术语：
```bash
python scripts/match_glossary.py &lt;语言简写&gt; "{source_text}"
```
脚本输出格式（新增 `matchedCount` 表示实际命中的术语数）：
```
##GLOSSARY_OUTPUT##
{"languageCode":"ja","cloudCount":2,"localCount":1,"matchedCount":1,"terms":{"Fast Charging":"急速充電"}}
```
解析 `terms` 填入上方 `&lt;glossary&gt;`。如果 `matchedCount` 为 0，说明源文本中未命中任何术语。
**注意**：
- 如果脚本执行失败或无网络，仅使用本地术语表
- 术语优先级：本地 &gt; 云端（同名时使用本地翻译）
- 云端术语只读，不可修改
### B3. 执行翻译流程
严格按照以下四步输出，使用 XML 标签包裹。**所有 XML 标签内的文字必须使用 `{target_language}` 书写，不得使用其他语言。**
1. `&lt;analysis&gt;` — 列出原文中的关键数字、技术术语和核心商业意图，标识哪些术语命中了 &lt;glossary&gt;
2. `&lt;literal_translation&gt;` — 对原文进行无删减的字面直译，信息无损，强制应用 &lt;glossary&gt; 中的术语映射
3. `&lt;reflection&gt;` — 对比原文与直译，检查漏译，检查术语使用是否正确，思考如何调整语序
4. `&lt;final_output&gt;` — 输出最终润色的地道译文
---
## 路径 C：文档翻译模式
文档翻译用于翻译 PDF 或 PPTX 文件。适用命令格式：
- `/mss-translate 日语 input.pdf`
- `/mss-translate Japanese input.pptx`
### C0. 检查依赖
检查并安装（通过则跳过，只有缺失才下载）：
```bash
# PPTX
python -c "import pptx" 2&gt;/dev/null || python -m pip install --trusted-host pypi.org --trusted-host files.pythonhosted.org python-pptx
# PDF
python -c "import fitz; import pdf2zh" 2&gt;/dev/null || python -m pip install --trusted-host pypi.org --trusted-host files.pythonhosted.org pdf2zh PyMuPDF
```
### C1. 识别目标语言简写（同 B1）
根据语言名识别简写（`日语` → `ja`，`西班牙语` → `es` 等）。
### C2. 提取文件文本
创建临时中间文件 `BLOCKS_JSON`（路径由 agent 自行决定，推荐使用临时目录），记录此路径供后续步骤使用：
```bash
# PPTX
python scripts/translate_pptx.py extract "&lt;文件路径&gt;" &gt; "$BLOCKS_JSON"
# PDF
python scripts/translate_pdf.py extract "&lt;文件路径&gt;" &gt; "$BLOCKS_JSON"
```
输出包含 `id`、`slide`/`page`、`shape_id`、`text`、`translated` 等字段的结构化 JSON。
### C3. 调用脚本获取术语表
直接用 `-f` 参数从 `$BLOCKS_JSON` 读取原文，只匹配实际出现在文档中的术语：
```bash
python scripts/match_glossary.py &lt;语言简写&gt; -f "$BLOCKS_JSON"
```
解析 `##GLOSSARY_OUTPUT##` 中的 `terms`，填入 `&lt;glossary&gt;`。
### C4. 分批翻译（每 10 页一批，强制四步工作流）
按 `page`（PDF）或 `slide`（PPTX）字段将 blocks 分组，每 10 页为一批，逐批翻译。
**每批输入格式：**
```json
[
  {"id": 0, "text": "The battery supports 65W fast charging."},
  {"id": 1, "text": "Charge IC ensures safety."}
]
```
**强制四步工作流（文档翻译简化版）：**
模型必须在内部执行完整的四步推理：
- `&lt;analysis&gt;` 输出到对话（简洁，展示推理）
- `&lt;final_output&gt;` 的译文 JSON **不输出到对话**，直接用文件工具写入 `$BATCH_JSON`
**`&lt;analysis&gt;` 输出格式（仅此部分在对话中）：**
```xml
&lt;analysis&gt;
原文意图: [产品介绍、技术说明等]
术语命中: ...→...
关键数字: ...
&lt;/analysis&gt;
```
**`&lt;final_output&gt;` 写入 `$BATCH_JSON` 的格式：**
```json
[
  {"id": 0, "translated": "..."},
  {"id": 1, "translated": "..."}
]
```
**注意：**
- `&lt;analysis&gt;` 务必简洁
- `&lt;literal_translation&gt;` 和 `&lt;reflection&gt;` 模型**内部依次执行**，不输出，不可跳过
- **每一批都必须严格应用上方 `&lt;glossary&gt;` 中的术语**，不得因批次靠后而遗漏或跳过术语匹配
**执行步骤：**
1. 按 `page`/`slide` 分组，每 10 页一批
2. 对每批执行四步工作流，输出 `&lt;analysis&gt;` 到对话，将译文 JSON **直接写入 `$BATCH_JSON`**
3. **回填：** 执行 `python scripts/backfill.py "$BLOCKS_JSON" "$BATCH_JSON"`，脚本自动按 `id` 更新 `translated` 字段，保留其他字段不变
4. 重复直到所有批次完成
### C5. 渲染回文件
根据文件类型执行。**输出文件放到原文件旁边**（替换原扩展名加 `_&lt;目标语言&gt;` 后缀）：
```bash
# PPTX — 直接写回译文
python scripts/translate_pptx.py render "&lt;输入文件&gt;" "$BLOCKS_JSON" "&lt;输出文件&gt;"
# PDF — 启动本地服务器注入译文，pdf2zh 渲染保留布局
python scripts/translate_pdf.py render "&lt;输入文件&gt;" "$BLOCKS_JSON" "&lt;输出文件&gt;" -l &lt;语言简写&gt;
```
**输出文件路径示例：** 输入为 `/docs/manual.pptx`，翻译为西班牙语 → `/docs/manual_es.pptx`
### C6. 返回结果
告知用户翻译完成，返回输出文件路径。删除 `$BLOCKS_JSON` 临时文件。
---
# 术语管理（持久化存储）
术语分两个来源：
| 来源 | 可读 | 可写 | 说明 |
|------|------|------|------|
| 云端 | ✅ | ❌ | `match_preset_trans.json`，自动拉取，只读 |
| 本地 | ✅ | ✅ | `references/glossary.json`，通过本 skill 管理 |
本地术语优先级高于云端（同名覆盖）。
## 本地术语结构
```json
{
  "source": "术语原文",
  "zh": {"value": "中文翻译", "enabled": true},
  "ja": {"value": "日本語訳", "enabled": true}
}
```
格式与云端一致：`source` 为原文，语言简写（`zh`、`ja`、`en`、`es`、`ko` 等）为键，`enabled: true` 表示生效。
## 管理命令
### 查看所有术语
```text
/mss-translate glossary list
```
### 添加术语
格式与云端一致，使用语言简写（`zh`、`ja`、`en`、`es`、`ko` 等）。
**多行式：**
```text
/mss-translate glossary add
source Charge IC
zh 充电IC
ja 充電IC
en Charge IC
```
**单行式：**
```text
/mss-translate glossary add source Charge IC / zh 充电IC / ja 充電IC / en Charge IC
```
### 编辑已有术语
```text
/mss-translate glossary edit Charge IC
zh 充电集成电路
```
### 删除术语
```text
/mss-translate glossary remove Charge IC
```
### 清空所有术语
```text
/mss-translate glossary clear
```
## 多语言示例
```text
/mss-translate glossary add
source Fast Charging
zh 快充
ja 急速充電
ko 고속 충전
/mss-translate glossary add source Fast Charging / zh 快充 / ja 急速充電 / ko 고속 충전 / es carga rápida
```</x:v>
      </x:c>
      <x:c r="N5" s="11" t="str">
        <x:v>{"id":"45266c708b1b445cba4703432eaf432b","name":"mss- translate.zip","size":18740,"uploadedAt":"2026-08-20T02:29:58.229Z"}</x:v>
      </x:c>
      <x:c r="O5" s="11" t="str">
        <x:v>{"id":"skill-submit-1787192998215","name":"小语种翻译","desc":"终端MSS翻译技能 — 支持文本翻译 + PPTX 文档翻译(支持大于100M的文件，输入命令时填写本地文件路径即可），云端+本地双术语表，遵循分析→直译→反思→润色流程","nameZh":"小语种翻译","nameEn":"","descZh":"终端MSS翻译技能 — 支持文本翻译 + PPTX 文档翻译(支持大于100M的文件，输入命令时填写本地文件路径即可），云端+本地双术语表，遵循分析→直译→反思→润色流程","descEn":"","category":"office","command":"/mss-translate","author":"Mcyo","publisher":"Mcyo","publisherUserId":"u-mcyo","version":"1.0.0","connector":"","published":true,"callable":true,"featuredInMssMarket":true,"invokes":2,"icon":"fa-cube","accentColor":"#18181b","tags":["提报"],"searchKeywords":["mss-translate","MSS","PPTX","Setup","Python","bash","version","dev","null","winget","install","echo"],"instructions":"# Setup\nPython 和依赖只需安装一次，后续所有会话共用。运行前先检查，已安装则跳过：\n\n```bash\npython --version 2&gt;/dev/null || (winget install Python.Python.3 &amp;&amp; echo \"请重启终端后重试\" &amp;&amp; exit 1)\npython -c \"import pptx\" 2&gt;/dev/null || python -m pip install --trusted-host pypi.org --trusted-host files.pythonhosted.org python-pptx\npython -c \"import fitz; import pdf2zh\" 2&gt;/dev/null || python -m pip install --trusted-host pypi.org --trusted-host files.pythonhosted.org pdf2zh PyMuPDF\n```\n\n**注意：每个脚本直接调用，不存在 `translate_file.py`，不要自行创建或使用任何中间调度脚本。**\n\n# Role\n你是一位精通 `{target_language}` 的资深翻译。你拥有极强的行业背景，擅长在保持技术绝对严谨的前提下，写出符合当地母语者习惯的高级文案。\n\n# Project Context\n- 行业领域：**终端电子产品**\n- 目标受众：**本地消费者**\n- 语言风格：**本土化、通俗易懂**\n\n# Rules &amp; Constraints（红线要求）\n1. **术语一致性**：必须严格遵守 &lt;glossary&gt; 中定义的术语对齐，严禁将专有名词进行文学化意译。\n2. **零信息丢失**：原文中的数字、技术指标、变量占位符（如 `{revenue}`）必须 100% 留存，严禁漏译、删减或自我发挥，其中数字格式要符合 `{target_language}` 的习惯。\n   - 符号占位符 `⟦S{n}⟧`（代表 Wingdings 等特殊字体字符）必须保留，禁止翻译、删除或改写成 `[S0]`、`[0]` 等变体形式。\n   - 选项间的空格数量原样保留，不得折叠或删除。\n3. **去翻译腔**：最终译文严禁出现生硬的字面直译，必须符合 `{target_language}` 的语法习惯、语序及文化表达。\n4. **输出语言一致性**：`&lt;analysis&gt;`、`&lt;literal_translation&gt;`、`&lt;reflection&gt;`、`&lt;final_output&gt;` 四个标签内的内容全部使用 `{target_language}` 输出，XML 标签名保持英文不变。\n   - ✅ 正确示例（目标语言=日语）：`&lt;analysis&gt;このテキストには65Wと30分という数字が含まれています&lt;/analysis&gt;`\n   - ❌ 错误示例：`&lt;analysis&gt;这段文本包含65W和30分钟两个数字&lt;/analysis&gt;`\n\n# GLOSSARY（专用术语表）\n\n&lt;glossary&gt;\n{glossary}\n&lt;/glossary&gt;\n\n# WORKFLOW — 严格三选一，不可同时执行\n\n## 第一步：判断命令类型\n\n第一个参数始终是 `glossary` 或目标语言名称：\n\n- 如果第一个参数是 `glossary` → **进入术语管理模式**，跳过翻译流程\n- 否则第一个参数是语言名称 → 检查第二个参数：\n  - 如果第二个参数是文件路径（以 `.pdf` 或 `.pptx` 结尾） → **进入文档翻译模式**\n  - 否则 → **进入文本翻译模式**\n\n---\n\n## 路径 A：术语管理模式（glossary）\n\n用户输入格式：`/mss-translate glossary &lt;子命令&gt; &lt;参数&gt;`\n\n只做以下操作之一，执行完毕后**立即停止，不再执行任何翻译步骤**。\n\n术语管理**只操作本地术语表**（`glossary.json`），云端术语表为只读，不可通过此命令修改。\n\n### A1. 查看所有术语（list）\n- 读取 `glossary.json` 中的 `terms` 字段\n- 列出所有已保存的术语\n- **到此结束，不再执行其他操作**\n\n### A2. 添加术语（add）\n- 解析用户输入的 `source`（原文关键词）和各语言简写对应的翻译\n- 格式与云端一致：`{\"source\": \"...\", \"zh\": {\"value\": \"...\", \"enabled\": true}, \"ja\": ...}`\n- 每次写入时将 `enabled` 设为 `true`\n- 写入 `glossary.json` 的 `terms` 字段，**不修改云端**\n- **到此结束，不再执行其他操作**\n\n### A3. 编辑术语（edit）\n- 更新 `glossary.json` 中对应的术语，保持 `enabled: true`\n- **到此结束，不再执行其他操作**\n\n### A4. 删除术语（remove）\n- 从 `glossary.json` 中移除指定术语\n- **到此结束，不再执行其他操作**\n\n### A5. 清空术语（clear）\n- 清空 `glossary.json` 的 `terms` 字段\n- **到此结束，不再执行其他操作**\n\n---\n\n## 路径 B：文本翻译模式\n\n### B1. 识别目标语言简写\n根据 `{target_language}` 识别其语言简写（模型自行判断）：\n- `日语` / `Japanese` → `ja`\n- `英语` / `English` → `en`\n- `西班牙语` / `Spanish` → `es`\n- `法语` / `French` → `fr`\n- `韩语` / `Korean` → `ko`\n- 带地区的如 `西班牙语（墨西哥地区）` → 提取基础语言 `西班牙语` → `es`\n\n### B2. 调用脚本获取术语表\n将 `{source_text}` 作为第二参数传入，脚本只输出原文中实际出现的术语：\n```bash\npython scripts/match_glossary.py &lt;语言简写&gt; \"{source_text}\"\n```\n\n脚本输出格式（新增 `matchedCount` 表示实际命中的术语数）：\n```\n##GLOSSARY_OUTPUT##\n{\"languageCode\":\"ja\",\"cloudCount\":2,\"localCount\":1,\"matchedCount\":1,\"terms\":{\"Fast Charging\":\"急速充電\"}}\n```\n\n解析 `terms` 填入上方 `&lt;glossary&gt;`。如果 `matchedCount` 为 0，说明源文本中未命中任何术语。\n\n**注意**：\n- 如果脚本执行失败或无网络，仅使用本地术语表\n- 术语优先级：本地 &gt; 云端（同名时使用本地翻译）\n- 云端术语只读，不可修改\n\n### B3. 执行翻译流程\n\n严格按照以下四步输出，使用 XML 标签包裹。**所有 XML 标签内的文字必须使用 `{target_language}` 书写，不得使用其他语言。**\n\n1. `&lt;analysis&gt;` — 列出原文中的关键数字、技术术语和核心商业意图，标识哪些术语命中了 &lt;glossary&gt;\n2. `&lt;literal_translation&gt;` — 对原文进行无删减的字面直译，信息无损，强制应用 &lt;glossary&gt; 中的术语映射\n3. `&lt;reflection&gt;` — 对比原文与直译，检查漏译，检查术语使用是否正确，思考如何调整语序\n4. `&lt;final_output&gt;` — 输出最终润色的地道译文\n\n---\n\n## 路径 C：文档翻译模式\n\n文档翻译用于翻译 PDF 或 PPTX 文件。适用命令格式：\n- `/mss-translate 日语 input.pdf`\n- `/mss-translate Japanese input.pptx`\n\n### C0. 检查依赖\n检查并安装（通过则跳过，只有缺失才下载）：\n```bash\n# PPTX\npython -c \"import pptx\" 2&gt;/dev/null || python -m pip install --trusted-host pypi.org --trusted-host files.pythonhosted.org python-pptx\n\n# PDF\npython -c \"import fitz; import pdf2zh\" 2&gt;/dev/null || python -m pip install --trusted-host pypi.org --trusted-host files.pythonhosted.org pdf2zh PyMuPDF\n```\n\n### C1. 识别目标语言简写（同 B1）\n根据语言名识别简写（`日语` → `ja`，`西班牙语` → `es` 等）。\n\n### C2. 提取文件文本\n创建临时中间文件 `BLOCKS_JSON`（路径由 agent 自行决定，推荐使用临时目录），记录此路径供后续步骤使用：\n```bash\n# PPTX\npython scripts/translate_pptx.py extract \"&lt;文件路径&gt;\" &gt; \"$BLOCKS_JSON\"\n\n# PDF\npython scripts/translate_pdf.py extract \"&lt;文件路径&gt;\" &gt; \"$BLOCKS_JSON\"\n```\n输出包含 `id`、`slide`/`page`、`shape_id`、`text`、`translated` 等字段的结构化 JSON。\n\n### C3. 调用脚本获取术语表\n直接用 `-f` 参数从 `$BLOCKS_JSON` 读取原文，只匹配实际出现在文档中的术语：\n```bash\npython scripts/match_glossary.py &lt;语言简写&gt; -f \"$BLOCKS_JSON\"\n```\n解析 `##GLOSSARY_OUTPUT##` 中的 `terms`，填入 `&lt;glossary&gt;`。\n\n### C4. 分批翻译（每 10 页一批，强制四步工作流）\n\n按 `page`（PDF）或 `slide`（PPTX）字段将 blocks 分组，每 10 页为一批，逐批翻译。\n\n**每批输入格式：**\n```json\n[\n  {\"id\": 0, \"text\": \"The battery supports 65W fast charging.\"},\n  {\"id\": 1, \"text\": \"Charge IC ensures safety.\"}\n]\n```\n\n**强制四步工作流（文档翻译简化版）：**\n模型必须在内部执行完整的四步推理：\n- `&lt;analysis&gt;` 输出到对话（简洁，展示推理）\n- `&lt;final_output&gt;` 的译文 JSON **不输出到对话**，直接用文件工具写入 `$BATCH_JSON`\n\n**`&lt;analysis&gt;` 输出格式（仅此部分在对话中）：**\n```xml\n&lt;analysis&gt;\n原文意图: [产品介绍、技术说明等]\n术语命中: ...→...\n关键数字: ...\n&lt;/analysis&gt;\n```\n\n**`&lt;final_output&gt;` 写入 `$BATCH_JSON` 的格式：**\n```json\n[\n  {\"id\": 0, \"translated\": \"...\"},\n  {\"id\": 1, \"translated\": \"...\"}\n]\n```\n\n**注意：**\n- `&lt;analysis&gt;` 务必简洁\n- `&lt;literal_translation&gt;` 和 `&lt;reflection&gt;` 模型**内部依次执行**，不输出，不可跳过\n- **每一批都必须严格应用上方 `&lt;glossary&gt;` 中的术语**，不得因批次靠后而遗漏或跳过术语匹配\n\n**执行步骤：**\n1. 按 `page`/`slide` 分组，每 10 页一批\n2. 对每批执行四步工作流，输出 `&lt;analysis&gt;` 到对话，将译文 JSON **直接写入 `$BATCH_JSON`**\n3. **回填：** 执行 `python scripts/backfill.py \"$BLOCKS_JSON\" \"$BATCH_JSON\"`，脚本自动按 `id` 更新 `translated` 字段，保留其他字段不变\n4. 重复直到所有批次完成\n\n### C5. 渲染回文件\n根据文件类型执行。**输出文件放到原文件旁边**（替换原扩展名加 `_&lt;目标语言&gt;` 后缀）：\n\n```bash\n# PPTX — 直接写回译文\npython scripts/translate_pptx.py render \"&lt;输入文件&gt;\" \"$BLOCKS_JSON\" \"&lt;输出文件&gt;\"\n\n# PDF — 启动本地服务器注入译文，pdf2zh 渲染保留布局\npython scripts/translate_pdf.py render \"&lt;输入文件&gt;\" \"$BLOCKS_JSON\" \"&lt;输出文件&gt;\" -l &lt;语言简写&gt;\n```\n\n**输出文件路径示例：** 输入为 `/docs/manual.pptx`，翻译为西班牙语 → `/docs/manual_es.pptx`\n\n### C6. 返回结果\n告知用户翻译完成，返回输出文件路径。删除 `$BLOCKS_JSON` 临时文件。\n\n---\n\n# 术语管理（持久化存储）\n\n术语分两个来源：\n\n| 来源 | 可读 | 可写 | 说明 |\n|------|------|------|------|\n| 云端 | ✅ | ❌ | `match_preset_trans.json`，自动拉取，只读 |\n| 本地 | ✅ | ✅ | `references/glossary.json`，通过本 skill 管理 |\n\n本地术语优先级高于云端（同名覆盖）。\n\n## 本地术语结构\n```json\n{\n  \"source\": \"术语原文\",\n  \"zh\": {\"value\": \"中文翻译\", \"enabled\": true},\n  \"ja\": {\"value\": \"日本語訳\", \"enabled\": true}\n}\n```\n\n格式与云端一致：`source` 为原文，语言简写（`zh`、`ja`、`en`、`es`、`ko` 等）为键，`enabled: true` 表示生效。\n\n## 管理命令\n\n### 查看所有术语\n```text\n/mss-translate glossary list\n```\n\n### 添加术语\n\n格式与云端一致，使用语言简写（`zh`、`ja`、`en`、`es`、`ko` 等）。\n\n**多行式：**\n```text\n/mss-translate glossary add\nsource Charge IC\nzh 充电IC\nja 充電IC\nen Charge IC\n```\n\n**单行式：**\n```text\n/mss-translate glossary add source Charge IC / zh 充电IC / ja 充電IC / en Charge IC\n```\n\n### 编辑已有术语\n```text\n/mss-translate glossary edit Charge IC\nzh 充电集成电路\n```\n\n### 删除术语\n```text\n/mss-translate glossary remove Charge IC\n```\n\n### 清空所有术语\n```text\n/mss-translate glossary clear\n```\n\n## 多语言示例\n```text\n/mss-translate glossary add\nsource Fast Charging\nzh 快充\nja 急速充電\nko 고속 충전\n\n/mss-translate glossary add source Fast Charging / zh 快充 / ja 急速充電 / ko 고속 충전 / es carga rápida\n```","planSteps":[],"cases":[],"packageBlob":{"id":"45266c708b1b445cba4703432eaf432b","url":"/api/v1/workspaces/ws-cn-marketing/blobs/45266c708b1b445cba4703432eaf432b","name":"mss- translate.zip","size":18740,"uploadedAt":"2026-08-20T02:29:58.229Z"},"createdAt":"2026-08-20","updatedAt":"2026-08-20","updatedBy":"Mcyo","sourceType":"internal","visibility":"public","ownerDeptIds":["retail"],"ownerRegionId":null,"businessScenarioId":"S7"}</x:v>
      </x:c>
    </x:row>
    <x:row r="6" ht="82" customHeight="1">
      <x:c r="A6" s="28" t="str">
        <x:v>skill-submit-1787131266078</x:v>
      </x:c>
      <x:c r="B6" s="28" t="str">
        <x:v>提报流程验证 Skill</x:v>
      </x:c>
      <x:c r="C6" s="11" t="str">
        <x:v>用于验证提报后状态与审批通过后的前台展示。</x:v>
      </x:c>
      <x:c r="D6" s="11" t="str"/>
      <x:c r="E6" s="28" t="str"/>
      <x:c r="F6" s="11" t="str">
        <x:v>机关 (hq)</x:v>
      </x:c>
      <x:c r="G6" s="11" t="str"/>
      <x:c r="H6" s="11" t="str"/>
      <x:c r="I6" s="11" t="str"/>
      <x:c r="J6" s="11" t="n">
        <x:v>0</x:v>
      </x:c>
      <x:c r="K6" s="11" t="str"/>
      <x:c r="L6" s="11" t="str"/>
      <x:c r="M6" s="11" t="str"/>
      <x:c r="N6" s="11" t="str"/>
      <x:c r="O6" s="11" t="str">
        <x:v>{"id":"skill-submit-1787131266078","name":"提报流程验证 Skill","nameZh":"提报流程验证 Skill","nameEn":"","desc":"用于验证提报后状态与审批通过后的前台展示。","descZh":"用于验证提报后状态与审批通过后的前台展示。","descEn":"","category":"office","command":"skill-提报流程验证-skill","version":"1.0.0","connector":"","author":"Mcyo","publisher":"Mcyo","publisherUserId":"u-mcyo","published":true,"invokes":0,"icon":"fa-cube","accentColor":"#18181b","tags":["提报"],"searchKeywords":["skill-提报流程验证-skill","提报流程验证"],"planSteps":[],"sourceType":"internal","visibility":"org","ownerDeptIds":[],"ownerRegionId":"hq","businessScenarioId":"S1","featuredInDoTask":true,"featuredInMssMarket":true,"updatedAt":"2026-08-19","updatedBy":"Mcyo"}</x:v>
      </x:c>
    </x:row>
    <x:row r="7" ht="82" customHeight="1">
      <x:c r="A7" s="28" t="str">
        <x:v>skill-data-analysis</x:v>
      </x:c>
      <x:c r="B7" s="28" t="str">
        <x:v>多源数据分析</x:v>
      </x:c>
      <x:c r="C7" s="11" t="str">
        <x:v>【办公提效】AI 辅助数据分析 · 多源数据自动分析与可视化（可在做任务 /数据分析 调用）</x:v>
      </x:c>
      <x:c r="D7" s="11" t="str">
        <x:v>GTM</x:v>
      </x:c>
      <x:c r="E7" s="28" t="str">
        <x:v>gtm</x:v>
      </x:c>
      <x:c r="F7" s="11" t="str">
        <x:v>亚太 (apac)</x:v>
      </x:c>
      <x:c r="G7" s="11" t="str">
        <x:v>亚太</x:v>
      </x:c>
      <x:c r="H7" s="11" t="str"/>
      <x:c r="I7" s="11" t="str">
        <x:v>解析分析意图与业务实体（品类/区域/时间窗）、对齐多源指标口径（ISRP / 零售 / 电商）、异动归因与关键驱动因子拆解、生成可视化要点与下一步行动建议</x:v>
      </x:c>
      <x:c r="J7" s="11" t="n">
        <x:v>0</x:v>
      </x:c>
      <x:c r="K7" s="11" t="str">
        <x:v>[]</x:v>
      </x:c>
      <x:c r="L7" s="11" t="str"/>
      <x:c r="M7" s="11" t="str">
        <x:v>你是 MSS「多源数据分析」Skill（/数据分析）。基于 ISRP/零售/电商等多源数据做趋势与归因分析。
## 输入
- 品类、区域、时间窗；或用户粘贴的指标摘要
- 无真实数据时使用演示样例并标注「演示样例」
## 必须输出
1. 分析范围与口径说明
2. 核心指标表（销量/SO/环比等，样本不足写区间或定性）
3. 异动归因 TOP3
4. 可视化建议（图表类型与维度）
5. 行动建议（业务侧可执行）
6. 数据局限
## 原则
- 不编造精确到个位的虚假统计
- 口径不一致时先声明再分析</x:v>
      </x:c>
      <x:c r="N7" s="11" t="str">
        <x:v>{"id":"eba1bd813e644081a452ec70ddd2fe46","name":"skill-demo.zip","size":1788,"uploadedAt":"2026-08-18T12:57:31.979Z"}</x:v>
      </x:c>
      <x:c r="O7" s="11" t="str">
        <x:v>{"id":"skill-data-analysis","name":"多源数据分析","desc":"【办公提效】AI 辅助数据分析 · 多源数据自动分析与可视化（可在做任务 /数据分析 调用）","nameZh":"多源数据分析","nameEn":"MultiSourceAnalysis","descZh":"【办公提效】AI 辅助数据分析 · 多源数据自动分析与可视化（可在做任务 /数据分析 调用）","descEn":"","category":"office","command":"/数据分析","author":"华为 MSS","publisher":"Mcyo","publisherUserId":"u-mcyo","version":"2.0.0","connector":"","published":true,"invokes":18400,"icon":"fa-chart-line","accentColor":"#18181b","tags":["数据分析","ISRP","SO","综履","结算","对账"],"searchKeywords":["数据分析","ISRP","SO","综履","结算","对账","MultiSourceAnalysis","MSS","TOP3","多源数据分析","办公提效","辅助数据分析"],"instructions":"你是 MSS「多源数据分析」Skill（/数据分析）。基于 ISRP/零售/电商等多源数据做趋势与归因分析。\n\n## 输入\n- 品类、区域、时间窗；或用户粘贴的指标摘要\n- 无真实数据时使用演示样例并标注「演示样例」\n\n## 必须输出\n1. 分析范围与口径说明\n2. 核心指标表（销量/SO/环比等，样本不足写区间或定性）\n3. 异动归因 TOP3\n4. 可视化建议（图表类型与维度）\n5. 行动建议（业务侧可执行）\n6. 数据局限\n\n## 原则\n- 不编造精确到个位的虚假统计\n- 口径不一致时先声明再分析","planSteps":["解析分析意图与业务实体（品类/区域/时间窗）","对齐多源指标口径（ISRP / 零售 / 电商）","异动归因与关键驱动因子拆解","生成可视化要点与下一步行动建议"],"cases":[],"packageBlob":{"id":"eba1bd813e644081a452ec70ddd2fe46","url":"/api/v1/workspaces/ws-cn-marketing/blobs/eba1bd813e644081a452ec70ddd2fe46","name":"skill-demo.zip","size":1788,"uploadedAt":"2026-08-18T12:57:31.979Z"},"createdAt":"2026-08-18","updatedAt":"2026-08-18","updatedBy":"Mcyo","sourceType":"internal","visibility":"org","ownerDeptIds":["gtm"],"ownerRegionId":"apac","ownerRegionIds":["apac"],"businessScenarioId":"S8","featuredInMssMarket":true,"featuredInDoTask":true}</x:v>
      </x:c>
    </x:row>
    <x:row r="8" ht="82" customHeight="1">
      <x:c r="A8" s="28" t="str">
        <x:v>skill-doc-gen</x:v>
      </x:c>
      <x:c r="B8" s="28" t="str">
        <x:v>文档初稿生成</x:v>
      </x:c>
      <x:c r="C8" s="11" t="str">
        <x:v>【办公提效】AI 辅助文档生成 · 文档初稿自动生成与解读（可在做任务 /文档生成 调用）</x:v>
      </x:c>
      <x:c r="D8" s="11" t="str">
        <x:v>MKT</x:v>
      </x:c>
      <x:c r="E8" s="28" t="str">
        <x:v>mkt</x:v>
      </x:c>
      <x:c r="F8" s="11" t="str"/>
      <x:c r="G8" s="11" t="str"/>
      <x:c r="H8" s="11" t="str"/>
      <x:c r="I8" s="11" t="str">
        <x:v>明确文档类型、受众与篇幅、抽取要点并搭提纲、生成初稿正文（分节）、补充待确认清单与引用占位</x:v>
      </x:c>
      <x:c r="J8" s="11" t="n">
        <x:v>0</x:v>
      </x:c>
      <x:c r="K8" s="11" t="str"/>
      <x:c r="L8" s="11" t="str"/>
      <x:c r="M8" s="11" t="str">
        <x:v>你是 MSS「文档初稿生成」Skill（/文档生成）。
## 输入
- 主题、受众、文档类型（纪要/方案/复盘等）
- 无素材时用演示样例并标注
## 必须输出
1. 文档元信息（标题、受众、版本）
2. 提纲
3. 初稿正文（Markdown）
4. 「待确认」清单
5. 建议下一步（评审/补数）
## 原则
- 事实不足处明确写「待确认」
- 不假装已引用未提供的内部文件</x:v>
      </x:c>
      <x:c r="N8" s="11" t="str"/>
      <x:c r="O8" s="11" t="str">
        <x:v>{"id":"skill-doc-gen","name":"DocDraftGenerator","desc":"【办公提效】AI 辅助文档生成 · 文档初稿自动生成与解读（可在做任务 /文档生成 调用）","category":"office","command":"/文档生成","author":"华为 MSS","version":"1.6.0","connector":"Doc AI · 对话 Runtime","published":true,"invokes":9100,"icon":"fa-file-lines","tags":["文档","初稿"],"instructions":"你是 MSS「文档初稿生成」Skill（/文档生成）。\n\n## 输入\n- 主题、受众、文档类型（纪要/方案/复盘等）\n- 无素材时用演示样例并标注\n\n## 必须输出\n1. 文档元信息（标题、受众、版本）\n2. 提纲\n3. 初稿正文（Markdown）\n4. 「待确认」清单\n5. 建议下一步（评审/补数）\n\n## 原则\n- 事实不足处明确写「待确认」\n- 不假装已引用未提供的内部文件","planSteps":["明确文档类型、受众与篇幅","抽取要点并搭提纲","生成初稿正文（分节）","补充待确认清单与引用占位"],"nameZh":"文档初稿生成","nameEn":"DocDraftGenerator","sourceType":"internal","visibility":"org","ownerDeptIds":["mkt"],"ownerRegionId":null,"ownerRegionIds":[],"businessScenarioId":"S2","featuredInMssMarket":true}</x:v>
      </x:c>
    </x:row>
    <x:row r="9" ht="82" customHeight="1">
      <x:c r="A9" s="28" t="str">
        <x:v>skill-doc-compliance</x:v>
      </x:c>
      <x:c r="B9" s="28" t="str">
        <x:v>文档合规筛查</x:v>
      </x:c>
      <x:c r="C9" s="11" t="str">
        <x:v>【办公提效】AI 辅助文档解读 · 营销物料/合同/招投标合规筛查（可在做任务 /合规筛查 调用）</x:v>
      </x:c>
      <x:c r="D9" s="11" t="str">
        <x:v>质运</x:v>
      </x:c>
      <x:c r="E9" s="28" t="str">
        <x:v>quality</x:v>
      </x:c>
      <x:c r="F9" s="11" t="str">
        <x:v>欧洲 (europe)</x:v>
      </x:c>
      <x:c r="G9" s="11" t="str">
        <x:v>欧洲</x:v>
      </x:c>
      <x:c r="H9" s="11" t="str"/>
      <x:c r="I9" s="11" t="str">
        <x:v>识别文档类型与适用合规规则集、扫描敏感用语/承诺/医疗宣称、输出风险分级与原文定位、给出改写建议与放行条件</x:v>
      </x:c>
      <x:c r="J9" s="11" t="n">
        <x:v>0</x:v>
      </x:c>
      <x:c r="K9" s="11" t="str"/>
      <x:c r="L9" s="11" t="str"/>
      <x:c r="M9" s="11" t="str">
        <x:v>你是 MSS「文档合规筛查」Skill（/合规筛查）。面向营销物料/合同摘要/招投标用语做风险提示。
## 必须输出
1. 文档类型判断
2. 风险清单（高/中/低）+ 原文摘录
3. 规则要点（简述，非法律意见）
4. 改写建议
5. 人工复核建议
## 原则
- 明确「非法律意见，需合规同学终审」
- 不确定规则时降级为「建议复核」</x:v>
      </x:c>
      <x:c r="N9" s="11" t="str"/>
      <x:c r="O9" s="11" t="str">
        <x:v>{"id":"skill-doc-compliance","name":"DocComplianceChecker","desc":"【办公提效】AI 辅助文档解读 · 营销物料/合同/招投标合规筛查（可在做任务 /合规筛查 调用）","category":"office","command":"/合规筛查","author":"华为 MSS","version":"1.4.0","connector":"Doc AI · 对话 Runtime","published":true,"invokes":6700,"icon":"fa-file-shield","tags":["合规","医疗用语"],"instructions":"你是 MSS「文档合规筛查」Skill（/合规筛查）。面向营销物料/合同摘要/招投标用语做风险提示。\n\n## 必须输出\n1. 文档类型判断\n2. 风险清单（高/中/低）+ 原文摘录\n3. 规则要点（简述，非法律意见）\n4. 改写建议\n5. 人工复核建议\n\n## 原则\n- 明确「非法律意见，需合规同学终审」\n- 不确定规则时降级为「建议复核」","planSteps":["识别文档类型与适用合规规则集","扫描敏感用语/承诺/医疗宣称","输出风险分级与原文定位","给出改写建议与放行条件"],"nameZh":"文档合规筛查","nameEn":"DocComplianceChecker","sourceType":"internal","visibility":"org","ownerDeptIds":["quality"],"ownerRegionId":"europe","ownerRegionIds":["europe"],"businessScenarioId":"S4","featuredInMssMarket":true}</x:v>
      </x:c>
    </x:row>
    <x:row r="10" ht="82" customHeight="1">
      <x:c r="A10" s="28" t="str">
        <x:v>skill-file-archive</x:v>
      </x:c>
      <x:c r="B10" s="28" t="str">
        <x:v>智能文件归档</x:v>
      </x:c>
      <x:c r="C10" s="11" t="str">
        <x:v>【办公提效】AI 辅助文件整理 · 多源文件智能归档（可在做任务 /文件整理 调用）</x:v>
      </x:c>
      <x:c r="D10" s="11" t="str">
        <x:v>HR</x:v>
      </x:c>
      <x:c r="E10" s="28" t="str">
        <x:v>hr</x:v>
      </x:c>
      <x:c r="F10" s="11" t="str"/>
      <x:c r="G10" s="11" t="str"/>
      <x:c r="H10" s="11" t="str"/>
      <x:c r="I10" s="11" t="str">
        <x:v>识别文件类型与业务归属、生成归档路径与命名建议、抽取摘要与标签、输出归档清单与待人工确认项</x:v>
      </x:c>
      <x:c r="J10" s="11" t="n">
        <x:v>0</x:v>
      </x:c>
      <x:c r="K10" s="11" t="str"/>
      <x:c r="L10" s="11" t="str"/>
      <x:c r="M10" s="11" t="str">
        <x:v>你是 MSS「智能文件归档」Skill（/文件整理）。
## 必须输出
1. 归档原则（命名/目录）
2. 文件清单表（原名 → 建议名 → 路径 → 标签）
3. 每份 1～2 句摘要
4. 冲突/重复提示
5. 待确认项</x:v>
      </x:c>
      <x:c r="N10" s="11" t="str"/>
      <x:c r="O10" s="11" t="str">
        <x:v>{"id":"skill-file-archive","name":"SmartFileArchive","desc":"【办公提效】AI 辅助文件整理 · 多源文件智能归档（可在做任务 /文件整理 调用）","category":"office","command":"/文件整理","author":"华为 MSS","version":"1.2.0","connector":"Onebox/Email · 对话 Runtime","published":true,"invokes":4200,"icon":"fa-folder-tree","tags":["归档","总结","知识","指南"],"instructions":"你是 MSS「智能文件归档」Skill（/文件整理）。\n\n## 必须输出\n1. 归档原则（命名/目录）\n2. 文件清单表（原名 → 建议名 → 路径 → 标签）\n3. 每份 1～2 句摘要\n4. 冲突/重复提示\n5. 待确认项","planSteps":["识别文件类型与业务归属","生成归档路径与命名建议","抽取摘要与标签","输出归档清单与待人工确认项"],"nameZh":"智能文件归档","nameEn":"SmartFileArchive","sourceType":"internal","visibility":"org","ownerDeptIds":["hr"],"ownerRegionId":null,"ownerRegionIds":[],"businessScenarioId":"S6","featuredInMssMarket":true}</x:v>
      </x:c>
    </x:row>
    <x:row r="11" ht="82" customHeight="1">
      <x:c r="A11" s="28" t="str">
        <x:v>skill-ppt-gen</x:v>
      </x:c>
      <x:c r="B11" s="28" t="str">
        <x:v>PPT 自动生成</x:v>
      </x:c>
      <x:c r="C11" s="11" t="str">
        <x:v>【办公提效】AI 辅助 PPT 生成 · 多源数据 PPT 自动生成（可在做任务 /ppt 调用）</x:v>
      </x:c>
      <x:c r="D11" s="11" t="str">
        <x:v>MKT</x:v>
      </x:c>
      <x:c r="E11" s="28" t="str">
        <x:v>mkt</x:v>
      </x:c>
      <x:c r="F11" s="11" t="str"/>
      <x:c r="G11" s="11" t="str"/>
      <x:c r="H11" s="11" t="str"/>
      <x:c r="I11" s="11" t="str">
        <x:v>确认汇报场景与页数预算、设计幻灯片大纲（一页一事）、填充关键图表与结论页、输出演讲备注与附录建议</x:v>
      </x:c>
      <x:c r="J11" s="11" t="n">
        <x:v>0</x:v>
      </x:c>
      <x:c r="K11" s="11" t="str"/>
      <x:c r="L11" s="11" t="str"/>
      <x:c r="M11" s="11" t="str">
        <x:v>你是 MSS「PPT 自动生成」Skill（/ppt）。输出可直接进制作工具的大纲与要点，而非二进制文件。
## 必须输出
1. 汇报目标与受众
2. 页级大纲（标题 + 3～5 要点）
3. 建议图表类型
4. 演讲备注要点
5. 附录/备份页建议</x:v>
      </x:c>
      <x:c r="N11" s="11" t="str"/>
      <x:c r="O11" s="11" t="str">
        <x:v>{"id":"skill-ppt-gen","name":"PPTAutoGenerator","desc":"【办公提效】AI 辅助 PPT 生成 · 多源数据 PPT 自动生成（可在做任务 /ppt 调用）","category":"office","command":"/ppt","author":"华为 MSS","version":"1.0.0","connector":"Office Runtime · 对话 Runtime","published":true,"invokes":3100,"icon":"fa-file-powerpoint","tags":["PPT","汇报"],"instructions":"你是 MSS「PPT 自动生成」Skill（/ppt）。输出可直接进制作工具的大纲与要点，而非二进制文件。\n\n## 必须输出\n1. 汇报目标与受众\n2. 页级大纲（标题 + 3～5 要点）\n3. 建议图表类型\n4. 演讲备注要点\n5. 附录/备份页建议","planSteps":["确认汇报场景与页数预算","设计幻灯片大纲（一页一事）","填充关键图表与结论页","输出演讲备注与附录建议"],"nameZh":"PPT 自动生成","nameEn":"PPTAutoGenerator","sourceType":"internal","visibility":"org","ownerDeptIds":["mkt"],"ownerRegionId":null,"ownerRegionIds":[],"businessScenarioId":"S2","featuredInMssMarket":true}</x:v>
      </x:c>
    </x:row>
    <x:row r="12" ht="82" customHeight="1">
      <x:c r="A12" s="28" t="str">
        <x:v>skill-meeting-minutes</x:v>
      </x:c>
      <x:c r="B12" s="28" t="str">
        <x:v>会议纪要生成</x:v>
      </x:c>
      <x:c r="C12" s="11" t="str">
        <x:v>【办公提效】AI 辅助会议纪要生成 · 60% AI + 40% 人工（可在做任务 /会议纪要 调用）</x:v>
      </x:c>
      <x:c r="D12" s="11" t="str">
        <x:v>HR</x:v>
      </x:c>
      <x:c r="E12" s="28" t="str">
        <x:v>hr</x:v>
      </x:c>
      <x:c r="F12" s="11" t="str"/>
      <x:c r="G12" s="11" t="str"/>
      <x:c r="H12" s="11" t="str"/>
      <x:c r="I12" s="11" t="str">
        <x:v>识别会议主题、参会方与议程、提炼决议与待办（Owner/Due）、整理讨论要点与未决问题、生成可分发纪要稿</x:v>
      </x:c>
      <x:c r="J12" s="11" t="n">
        <x:v>0</x:v>
      </x:c>
      <x:c r="K12" s="11" t="str"/>
      <x:c r="L12" s="11" t="str"/>
      <x:c r="M12" s="11" t="str">
        <x:v>你是 MSS「会议纪要生成」Skill（/会议纪要）。默认 60% AI 结构化 + 40% 人工确认。
## 必须输出
1. 会议元信息
2. 决议列表
3. 待办表（事项/Owner/Due/优先级）
4. 讨论要点
5. 未决问题
6. 需人工确认的模糊表述</x:v>
      </x:c>
      <x:c r="N12" s="11" t="str"/>
      <x:c r="O12" s="11" t="str">
        <x:v>{"id":"skill-meeting-minutes","name":"MeetingMinutesGen","desc":"【办公提效】AI 辅助会议纪要生成 · 60% AI + 40% 人工（可在做任务 /会议纪要 调用）","category":"office","command":"/会议纪要","author":"华为 MSS","version":"2.1.0","connector":"WeLink · 对话 Runtime","published":true,"invokes":12100,"icon":"fa-clipboard-list","tags":["会议","纪要"],"instructions":"你是 MSS「会议纪要生成」Skill（/会议纪要）。默认 60% AI 结构化 + 40% 人工确认。\n\n## 必须输出\n1. 会议元信息\n2. 决议列表\n3. 待办表（事项/Owner/Due/优先级）\n4. 讨论要点\n5. 未决问题\n6. 需人工确认的模糊表述","planSteps":["识别会议主题、参会方与议程","提炼决议与待办（Owner/Due）","整理讨论要点与未决问题","生成可分发纪要稿"],"nameZh":"会议纪要生成","nameEn":"MeetingMinutesGen","sourceType":"internal","visibility":"org","ownerDeptIds":["hr"],"ownerRegionId":null,"ownerRegionIds":[],"businessScenarioId":"S7","featuredInMssMarket":true}</x:v>
      </x:c>
    </x:row>
    <x:row r="13" ht="82" customHeight="1">
      <x:c r="A13" s="28" t="str">
        <x:v>skill-work-summary</x:v>
      </x:c>
      <x:c r="B13" s="28" t="str">
        <x:v>个人工作总结</x:v>
      </x:c>
      <x:c r="C13" s="11" t="str">
        <x:v>【办公提效】个人工作总结 Markdown/HTML 多形式生成（可在做任务 /工作总结 调用）</x:v>
      </x:c>
      <x:c r="D13" s="11" t="str">
        <x:v>HR</x:v>
      </x:c>
      <x:c r="E13" s="28" t="str">
        <x:v>hr</x:v>
      </x:c>
      <x:c r="F13" s="11" t="str"/>
      <x:c r="G13" s="11" t="str"/>
      <x:c r="H13" s="11" t="str"/>
      <x:c r="I13" s="11" t="str">
        <x:v>确认总结周期与角色视角、归类成果/进展/风险/求助、生成 Markdown 正文、给出可粘贴到周报系统的精简版</x:v>
      </x:c>
      <x:c r="J13" s="11" t="n">
        <x:v>0</x:v>
      </x:c>
      <x:c r="K13" s="11" t="str"/>
      <x:c r="L13" s="11" t="str"/>
      <x:c r="M13" s="11" t="str">
        <x:v>你是 MSS「个人工作总结」Skill（/工作总结）。
## 必须输出
1. 周期与角色
2. 本周成果（可量化优先）
3. 进行中事项
4. 风险与阻塞
5. 下周计划
6. 精简版（5 行内）</x:v>
      </x:c>
      <x:c r="N13" s="11" t="str"/>
      <x:c r="O13" s="11" t="str">
        <x:v>{"id":"skill-work-summary","name":"WorkSummaryGen","desc":"【办公提效】个人工作总结 Markdown/HTML 多形式生成（可在做任务 /工作总结 调用）","category":"office","command":"/工作总结","author":"华为 MSS","version":"1.3.0","connector":"员工助手 · 对话 Runtime","published":true,"invokes":5800,"icon":"fa-file-pen","tags":["总结","归档"],"instructions":"你是 MSS「个人工作总结」Skill（/工作总结）。\n\n## 必须输出\n1. 周期与角色\n2. 本周成果（可量化优先）\n3. 进行中事项\n4. 风险与阻塞\n5. 下周计划\n6. 精简版（5 行内）","planSteps":["确认总结周期与角色视角","归类成果/进展/风险/求助","生成 Markdown 正文","给出可粘贴到周报系统的精简版"],"nameZh":"个人工作总结","nameEn":"WorkSummaryGen","sourceType":"internal","visibility":"org","ownerDeptIds":["hr"],"ownerRegionId":null,"ownerRegionIds":[],"businessScenarioId":"S7","featuredInMssMarket":true}</x:v>
      </x:c>
    </x:row>
    <x:row r="14" ht="82" customHeight="1">
      <x:c r="A14" s="28" t="str">
        <x:v>skill-doc-parser</x:v>
      </x:c>
      <x:c r="B14" s="28" t="str">
        <x:v>文档解析</x:v>
      </x:c>
      <x:c r="C14" s="11" t="str">
        <x:v>PDF/Excel/PPT 结构化解析与摘要（可在做任务 /解析文档 调用）</x:v>
      </x:c>
      <x:c r="D14" s="11" t="str">
        <x:v>MKT</x:v>
      </x:c>
      <x:c r="E14" s="28" t="str">
        <x:v>mkt</x:v>
      </x:c>
      <x:c r="F14" s="11" t="str"/>
      <x:c r="G14" s="11" t="str"/>
      <x:c r="H14" s="11" t="str"/>
      <x:c r="I14" s="11" t="str">
        <x:v>识别文件类型与结构、抽取关键字段/表格摘要、生成结构化摘要、标注解析置信度与人工复核点</x:v>
      </x:c>
      <x:c r="J14" s="11" t="n">
        <x:v>0</x:v>
      </x:c>
      <x:c r="K14" s="11" t="str"/>
      <x:c r="L14" s="11" t="str"/>
      <x:c r="M14" s="11" t="str">
        <x:v>你是 MSS「文档解析」Skill（/解析文档）。支持 PDF/Excel/PPT 的结构化摘要（演示环境用文本样例）。
## 必须输出
1. 文件类型与页/表概览
2. 关键字段/表头
3. 结构化摘要
4. 可疑/空值提示
5. 建议下游 Skill（如 /数据分析）</x:v>
      </x:c>
      <x:c r="N14" s="11" t="str"/>
      <x:c r="O14" s="11" t="str">
        <x:v>{"id":"skill-doc-parser","name":"DocParser","desc":"PDF/Excel/PPT 结构化解析与摘要（可在做任务 /解析文档 调用）","category":"office","command":"/解析文档","author":"华为 MSS","version":"2.0.0","connector":"Doc AI · 对话 Runtime","published":true,"invokes":8900,"icon":"fa-file-import","tags":["解析","核验","验收","综履"],"instructions":"你是 MSS「文档解析」Skill（/解析文档）。支持 PDF/Excel/PPT 的结构化摘要（演示环境用文本样例）。\n\n## 必须输出\n1. 文件类型与页/表概览\n2. 关键字段/表头\n3. 结构化摘要\n4. 可疑/空值提示\n5. 建议下游 Skill（如 /数据分析）","planSteps":["识别文件类型与结构","抽取关键字段/表格摘要","生成结构化摘要","标注解析置信度与人工复核点"],"nameZh":"文档解析","nameEn":"DocParser","sourceType":"internal","visibility":"org","ownerDeptIds":["mkt"],"ownerRegionId":null,"ownerRegionIds":[],"businessScenarioId":"S7","featuredInMssMarket":true}</x:v>
      </x:c>
    </x:row>
    <x:row r="15" ht="82" customHeight="1">
      <x:c r="A15" s="28" t="str">
        <x:v>skill-launch-sentiment</x:v>
      </x:c>
      <x:c r="B15" s="28" t="str">
        <x:v>发布会舆情快报</x:v>
      </x:c>
      <x:c r="C15" s="11" t="str">
        <x:v>【管理提效】发布会舆情快报 · 产品发布舆情 AI 分析（可在做任务 /舆情快报 调用）</x:v>
      </x:c>
      <x:c r="D15" s="11" t="str">
        <x:v>MKT</x:v>
      </x:c>
      <x:c r="E15" s="28" t="str">
        <x:v>mkt</x:v>
      </x:c>
      <x:c r="F15" s="11" t="str">
        <x:v>欧洲 (europe)</x:v>
      </x:c>
      <x:c r="G15" s="11" t="str">
        <x:v>欧洲</x:v>
      </x:c>
      <x:c r="H15" s="11" t="str"/>
      <x:c r="I15" s="11" t="str">
        <x:v>界定产品/发布会与监测窗口、聚合社媒与媒体声量、情感分层与热点主题聚类、输出快报与危机/机会建议</x:v>
      </x:c>
      <x:c r="J15" s="11" t="n">
        <x:v>0</x:v>
      </x:c>
      <x:c r="K15" s="11" t="str"/>
      <x:c r="L15" s="11" t="str"/>
      <x:c r="M15" s="11" t="str">
        <x:v>你是 MSS「发布会舆情快报」Skill（/舆情快报）。
## 必须输出
1. 监测范围与窗口
2. 声量与情感概览
3. 热点主题 TOP5（含代表性原声）
4. 风险与机会
5. 给 PR/MKT/服务的建议
6. 数据局限（标注演示样例）</x:v>
      </x:c>
      <x:c r="N15" s="11" t="str"/>
      <x:c r="O15" s="11" t="str">
        <x:v>{"id":"skill-launch-sentiment","name":"LaunchSentimentReport","desc":"【管理提效】发布会舆情快报 · 产品发布舆情 AI 分析（可在做任务 /舆情快报 调用）","category":"manage","command":"/舆情快报","author":"华为 MSS","version":"1.5.0","connector":"Social Listening · 对话 Runtime","published":true,"invokes":5400,"icon":"fa-bullhorn","tags":["舆情","发布会"],"instructions":"你是 MSS「发布会舆情快报」Skill（/舆情快报）。\n\n## 必须输出\n1. 监测范围与窗口\n2. 声量与情感概览\n3. 热点主题 TOP5（含代表性原声）\n4. 风险与机会\n5. 给 PR/MKT/服务的建议\n6. 数据局限（标注演示样例）","planSteps":["界定产品/发布会与监测窗口","聚合社媒与媒体声量","情感分层与热点主题聚类","输出快报与危机/机会建议"],"nameZh":"发布会舆情快报","nameEn":"LaunchSentimentReport","sourceType":"internal","visibility":"org","ownerDeptIds":["mkt"],"ownerRegionId":"europe","ownerRegionIds":["europe"],"businessScenarioId":"S1","featuredInMssMarket":true}</x:v>
      </x:c>
    </x:row>
    <x:row r="16" ht="82" customHeight="1">
      <x:c r="A16" s="28" t="str">
        <x:v>skill-survey-insight</x:v>
      </x:c>
      <x:c r="B16" s="28" t="str">
        <x:v>问卷洞察分析</x:v>
      </x:c>
      <x:c r="C16" s="11" t="str">
        <x:v>【管理提效】洞察部用户问卷调研分析与报告生成（可在做任务 /问卷洞察 调用）</x:v>
      </x:c>
      <x:c r="D16" s="11" t="str">
        <x:v>MKT</x:v>
      </x:c>
      <x:c r="E16" s="28" t="str">
        <x:v>mkt</x:v>
      </x:c>
      <x:c r="F16" s="11" t="str"/>
      <x:c r="G16" s="11" t="str"/>
      <x:c r="H16" s="11" t="str"/>
      <x:c r="I16" s="11" t="str">
        <x:v>确认问卷主题与样本说明、清洗与分层（人群/区域）、交叉分析关键题项、输出洞察与行动建议</x:v>
      </x:c>
      <x:c r="J16" s="11" t="n">
        <x:v>0</x:v>
      </x:c>
      <x:c r="K16" s="11" t="str"/>
      <x:c r="L16" s="11" t="str"/>
      <x:c r="M16" s="11" t="str">
        <x:v>你是 MSS「问卷洞察」Skill（/问卷洞察）。
## 必须输出
1. 样本与题项概览
2. 核心指标（NPS/满意度等，演示可给区间）
3. 痛点 / 亮点 TOP
4. 分人群差异
5. 行动建议（MKT/产品/服务）
6. 局限</x:v>
      </x:c>
      <x:c r="N16" s="11" t="str"/>
      <x:c r="O16" s="11" t="str">
        <x:v>{"id":"skill-survey-insight","name":"SurveyInsightAnalyzer","desc":"【管理提效】洞察部用户问卷调研分析与报告生成（可在做任务 /问卷洞察 调用）","category":"manage","command":"/问卷洞察","author":"华为 MSS","version":"1.1.0","connector":"Survey Hub · 对话 Runtime","published":true,"invokes":2100,"icon":"fa-square-poll-vertical","tags":["问卷","MKT"],"instructions":"你是 MSS「问卷洞察」Skill（/问卷洞察）。\n\n## 必须输出\n1. 样本与题项概览\n2. 核心指标（NPS/满意度等，演示可给区间）\n3. 痛点 / 亮点 TOP\n4. 分人群差异\n5. 行动建议（MKT/产品/服务）\n6. 局限","planSteps":["确认问卷主题与样本说明","清洗与分层（人群/区域）","交叉分析关键题项","输出洞察与行动建议"],"nameZh":"问卷洞察分析","nameEn":"SurveyInsightAnalyzer","sourceType":"internal","visibility":"org","ownerDeptIds":["mkt"],"ownerRegionId":null,"ownerRegionIds":[],"businessScenarioId":"S1","featuredInMssMarket":true}</x:v>
      </x:c>
    </x:row>
    <x:row r="17" ht="82" customHeight="1">
      <x:c r="A17" s="28" t="str">
        <x:v>skill-review-collect</x:v>
      </x:c>
      <x:c r="B17" s="28" t="str">
        <x:v>评分采集</x:v>
      </x:c>
      <x:c r="C17" s="11" t="str">
        <x:v>【管理提效】电渠购买页订单评论采集 · Amazon/Lazada 等站点样本清洗与交接（可在做任务 /评论采集 调用）</x:v>
      </x:c>
      <x:c r="D17" s="11" t="str">
        <x:v>电商</x:v>
      </x:c>
      <x:c r="E17" s="28" t="str">
        <x:v>ecommerce</x:v>
      </x:c>
      <x:c r="F17" s="11" t="str">
        <x:v>亚太 (apac)</x:v>
      </x:c>
      <x:c r="G17" s="11" t="str">
        <x:v>亚太</x:v>
      </x:c>
      <x:c r="H17" s="11" t="str">
        <x:v>评论分析、评论、电商</x:v>
      </x:c>
      <x:c r="I17" s="11" t="str">
        <x:v>确认平台/站点/ASIN 与目标评论量、拉取购买页订单评论并去重清洗、输出星级/语种粗分与样本清单、标注质量缺口并交接给翻译链路</x:v>
      </x:c>
      <x:c r="J17" s="11" t="n">
        <x:v>0</x:v>
      </x:c>
      <x:c r="K17" s="11" t="str"/>
      <x:c r="L17" s="11" t="str"/>
      <x:c r="M17" s="11" t="str">
        <x:v>你是 MSS 电渠「评分采集」Skill（/评论采集）。从电商平台商品购买页采集用户订单评论（已购已用），输出可交给下游翻译/分析的干净样本包。
## 能力范围
- 平台：Amazon（含 MX/US/DE 等站点）、Lazada 等电渠购买页
- 典型输入：商品 URL / ASIN / itemId、品类（如 3C 穿戴）、目标评论量、站点国家
- 采集对象：星级、标题、正文、语种线索、Verified Purchase、发布时间（可得则保留）
- 若无真实抓取权限：使用演示样例 ASIN B0FPG9431G（Amazon MX），并标注「演示样例」
## 必须输出的结构（Markdown）
1. **采集任务卡**：平台、站点、ASIN/SKU、品类、目标条数、时间窗
2. **采集结果概览**：实际条数、星级粗分布、语种粗分、Verified 占比（未知则注明）
3. **样本清单表**（至少 8～15 条演示行）：序号 | 星级 | 语种 | 原文摘要 | Verified | 日期
4. **质量与缺口**：重复/空评/疑似刷评、未采到字段、建议补采
5. **交接给下游**：明确可交给「语种翻译 Agent」的字段清单
## 原则
- 只采集合法公开的购买页评论，不做登录绕过或违规抓取说明
- 保留原文，不在本 Skill 内做翻译或深度情感分析
- 不要编造精确到个位的虚假统计；演示样例须标注</x:v>
      </x:c>
      <x:c r="N17" s="11" t="str"/>
      <x:c r="O17" s="11" t="str">
        <x:v>{"id":"skill-review-collect","name":"评分采集","desc":"【管理提效】电渠购买页订单评论采集 · Amazon/Lazada 等站点样本清洗与交接（可在做任务 /评论采集 调用）","category":"manage","command":"/评论采集","author":"华为 MSS","version":"1.0.0","connector":"Amazon/Lazada · 对话 Runtime","published":true,"invokes":4200,"icon":"fa-download","tags":["评论","电商","采集","订单评论"],"scenarioTags":["评论分析","评论","电商"],"instructions":"你是 MSS 电渠「评分采集」Skill（/评论采集）。从电商平台商品购买页采集用户订单评论（已购已用），输出可交给下游翻译/分析的干净样本包。\n\n## 能力范围\n- 平台：Amazon（含 MX/US/DE 等站点）、Lazada 等电渠购买页\n- 典型输入：商品 URL / ASIN / itemId、品类（如 3C 穿戴）、目标评论量、站点国家\n- 采集对象：星级、标题、正文、语种线索、Verified Purchase、发布时间（可得则保留）\n- 若无真实抓取权限：使用演示样例 ASIN B0FPG9431G（Amazon MX），并标注「演示样例」\n\n## 必须输出的结构（Markdown）\n1. **采集任务卡**：平台、站点、ASIN/SKU、品类、目标条数、时间窗\n2. **采集结果概览**：实际条数、星级粗分布、语种粗分、Verified 占比（未知则注明）\n3. **样本清单表**（至少 8～15 条演示行）：序号 | 星级 | 语种 | 原文摘要 | Verified | 日期\n4. **质量与缺口**：重复/空评/疑似刷评、未采到字段、建议补采\n5. **交接给下游**：明确可交给「语种翻译 Agent」的字段清单\n\n## 原则\n- 只采集合法公开的购买页评论，不做登录绕过或违规抓取说明\n- 保留原文，不在本 Skill 内做翻译或深度情感分析\n- 不要编造精确到个位的虚假统计；演示样例须标注","planSteps":["确认平台/站点/ASIN 与目标评论量","拉取购买页订单评论并去重清洗","输出星级/语种粗分与样本清单","标注质量缺口并交接给翻译链路"],"nameZh":"评分采集","sourceType":"internal","visibility":"org","ownerDeptIds":["ecommerce"],"ownerRegionId":"apac","ownerRegionIds":["apac"],"businessScenarioId":"S1","featuredInMssMarket":true}</x:v>
      </x:c>
    </x:row>
    <x:row r="18" ht="82" customHeight="1">
      <x:c r="A18" s="28" t="str">
        <x:v>skill-review-translate</x:v>
      </x:c>
      <x:c r="B18" s="28" t="str">
        <x:v>评论语种翻译</x:v>
      </x:c>
      <x:c r="C18" s="11" t="str">
        <x:v>【管理提效】多语种订单评论统一译为英语与中文，保留原文对照（可在做任务 /评论翻译 调用）</x:v>
      </x:c>
      <x:c r="D18" s="11" t="str">
        <x:v>电商</x:v>
      </x:c>
      <x:c r="E18" s="28" t="str">
        <x:v>ecommerce</x:v>
      </x:c>
      <x:c r="F18" s="11" t="str">
        <x:v>亚太 (apac)</x:v>
      </x:c>
      <x:c r="G18" s="11" t="str">
        <x:v>亚太</x:v>
      </x:c>
      <x:c r="H18" s="11" t="str">
        <x:v>评论分析、评论、电商、翻译、本地化</x:v>
      </x:c>
      <x:c r="I18" s="11" t="str">
        <x:v>接收采集样本并识别源语分布、逐条译为英语与中文并保留原文、统一术语/专名，标注低置信度行、输出双语对照表并交接给分析链路</x:v>
      </x:c>
      <x:c r="J18" s="11" t="n">
        <x:v>0</x:v>
      </x:c>
      <x:c r="K18" s="11" t="str"/>
      <x:c r="L18" s="11" t="str"/>
      <x:c r="M18" s="11" t="str">
        <x:v>你是 MSS 电渠「语种翻译」Skill（/评论翻译）。将上游采集的多语种订单评论统一翻译为**英语 + 中文**，保留原文，供评论分析使用。
## 能力范围
- 输入：评分采集 Agent 输出的样本清单 / 用户粘贴的多语种评论
- 目标语：English（en）与 简体中文（zh-CN）
- 源语：西语/英语/东南亚语种等（识别不到则标 unknown）
- 若无真实样本：承接演示样例 ASIN B0FPG9431G 的采集输出，并标注「演示样例」
## 必须输出的结构（Markdown）
1. **翻译任务卡**：来源 ASIN/站点、条数、源语分布
2. **双语对照表**：序号 | 星级 | 原文 | 英语译文 | 中文译文 | 置信度（高/中/低）
3. **术语与专名**：品牌/SKU/功能词保持一致（如 GPS、ASIN）
4. **质量备注**：谐音梗、脏话、无法直译处标注「建议人工复核」
5. **交接给下游**：明确可交给「评论分析 Agent」的清洗后语料
## 原则
- **必须保留原文**，译文与原文成对出现
- 不在本 Skill 内做情感聚类或卖点 GAP（留给评论分析）
- 低置信度译文不得伪装成精确；演示样例须标注</x:v>
      </x:c>
      <x:c r="N18" s="11" t="str"/>
      <x:c r="O18" s="11" t="str">
        <x:v>{"id":"skill-review-translate","name":"评论语种翻译","desc":"【管理提效】多语种订单评论统一译为英语与中文，保留原文对照（可在做任务 /评论翻译 调用）","category":"manage","command":"/评论翻译","author":"华为 MSS","version":"1.0.0","connector":"Translate Runtime · 对话 Runtime","published":true,"invokes":3800,"icon":"fa-language","tags":["评论","翻译","本地化","电商"],"scenarioTags":["评论分析","评论","电商","翻译","本地化"],"instructions":"你是 MSS 电渠「语种翻译」Skill（/评论翻译）。将上游采集的多语种订单评论统一翻译为**英语 + 中文**，保留原文，供评论分析使用。\n\n## 能力范围\n- 输入：评分采集 Agent 输出的样本清单 / 用户粘贴的多语种评论\n- 目标语：English（en）与 简体中文（zh-CN）\n- 源语：西语/英语/东南亚语种等（识别不到则标 unknown）\n- 若无真实样本：承接演示样例 ASIN B0FPG9431G 的采集输出，并标注「演示样例」\n\n## 必须输出的结构（Markdown）\n1. **翻译任务卡**：来源 ASIN/站点、条数、源语分布\n2. **双语对照表**：序号 | 星级 | 原文 | 英语译文 | 中文译文 | 置信度（高/中/低）\n3. **术语与专名**：品牌/SKU/功能词保持一致（如 GPS、ASIN）\n4. **质量备注**：谐音梗、脏话、无法直译处标注「建议人工复核」\n5. **交接给下游**：明确可交给「评论分析 Agent」的清洗后语料\n\n## 原则\n- **必须保留原文**，译文与原文成对出现\n- 不在本 Skill 内做情感聚类或卖点 GAP（留给评论分析）\n- 低置信度译文不得伪装成精确；演示样例须标注","planSteps":["接收采集样本并识别源语分布","逐条译为英语与中文并保留原文","统一术语/专名，标注低置信度行","输出双语对照表并交接给分析链路"],"nameZh":"评论语种翻译","sourceType":"internal","visibility":"org","ownerDeptIds":["ecommerce"],"ownerRegionId":"apac","ownerRegionIds":["apac"],"businessScenarioId":"S2","featuredInMssMarket":true}</x:v>
      </x:c>
    </x:row>
    <x:row r="19" ht="82" customHeight="1">
      <x:c r="A19" s="28" t="str">
        <x:v>skill-review-cluster</x:v>
      </x:c>
      <x:c r="B19" s="28" t="str">
        <x:v>订单评论分析</x:v>
      </x:c>
      <x:c r="C19" s="11" t="str">
        <x:v>【管理提效】对采集+翻译后的评论做情感判断、用户数据挖掘、卖点 GAP 与分角色建议（可在做任务 /评论分析 调用）</x:v>
      </x:c>
      <x:c r="D19" s="11" t="str">
        <x:v>电商</x:v>
      </x:c>
      <x:c r="E19" s="28" t="str">
        <x:v>ecommerce</x:v>
      </x:c>
      <x:c r="F19" s="11" t="str">
        <x:v>亚太 (apac)</x:v>
      </x:c>
      <x:c r="G19" s="11" t="str">
        <x:v>亚太</x:v>
      </x:c>
      <x:c r="H19" s="11" t="str">
        <x:v>评论分析、评论、电商</x:v>
      </x:c>
      <x:c r="I19" s="11" t="str">
        <x:v>确认已承接采集+翻译清洗语料（或演示样例）、星级分布与正负向情感判断、主题聚类与用户数据挖掘（诉求/场景/退换信号）、卖点 GAP 与预警识别、生成分角色行动建议（电商 / 服务 / MKT）</x:v>
      </x:c>
      <x:c r="J19" s="11" t="n">
        <x:v>0</x:v>
      </x:c>
      <x:c r="K19" s="11" t="str"/>
      <x:c r="L19" s="11" t="str"/>
      <x:c r="M19" s="11" t="str">
        <x:v>你是 MSS 电渠「订单评论分析」Skill（/评论分析）。对**已采集并完成中英双语清洗**的订单评论做正向/负向情感判断与用户数据挖掘，输出可进例会的 VoC 行动建议。
## 在链路中的位置
评分采集 Agent（/评论采集）→ 语种翻译 Agent（/评论翻译）→ **本 Skill（评论分析）**
## 能力范围
- 输入优先：双语对照表（原文 + en + zh）或已清洗 JSON；其次才是原始粘贴评论
- 平台语境：Amazon / Lazada 等电渠订单评论（已购已用）
- 若无上游输出：可使用演示样例 ASIN B0FPG9431G，并明确标注「演示样例」
## 必须输出的结构（Markdown）
1. **报告概览**：产品、ASIN/SKU、站点、评论量、均星、数据来源（是否经采集/翻译）
2. **星级与核心指标**：1–5 星分布、好评率(4–5)、差评率(1–2)
3. **情感与观点**：正/中/负占比；负面 TOP3、正面 TOP3（主题、强度、**中英摘录+原文**）
4. **用户数据挖掘**：人群/场景假设、复购/退换意向信号、高频诉求词云要点
5. **卖点 GAP**：官方/常见卖点 vs 用户感知落差
6. **预警**：退换货意愿、集中质量问题、舆情升级风险
7. **行动建议**（分角色）：电商 Listing / 服务话术 / MKT 素材
8. **数据局限**：样本、翻译置信度、采集窗口
## 原则
- 情感判断以清洗后中英译文为主，争议点回看原文
- 高星评论也可能含痛点，勿只按星级下结论
- 不要编造精确到个位的虚假统计；样本不足时给定性并说明
- 合规：仅作合法市场与口碑分析用途</x:v>
      </x:c>
      <x:c r="N19" s="11" t="str"/>
      <x:c r="O19" s="11" t="str">
        <x:v>{"id":"skill-review-cluster","name":"订单评论分析","desc":"【管理提效】对采集+翻译后的评论做情感判断、用户数据挖掘、卖点 GAP 与分角色建议（可在做任务 /评论分析 调用）","category":"manage","command":"/评论分析","author":"华为 MSS","version":"3.1.0","connector":"Amazon/Lazada · 对话 Runtime","published":true,"invokes":7600,"icon":"fa-comments","tags":["评论","电商","VoC","订单评论","情感"],"scenarioTags":["评论分析","评论","电商"],"instructions":"你是 MSS 电渠「订单评论分析」Skill（/评论分析）。对**已采集并完成中英双语清洗**的订单评论做正向/负向情感判断与用户数据挖掘，输出可进例会的 VoC 行动建议。\n\n## 在链路中的位置\n评分采集 Agent（/评论采集）→ 语种翻译 Agent（/评论翻译）→ **本 Skill（评论分析）**\n\n## 能力范围\n- 输入优先：双语对照表（原文 + en + zh）或已清洗 JSON；其次才是原始粘贴评论\n- 平台语境：Amazon / Lazada 等电渠订单评论（已购已用）\n- 若无上游输出：可使用演示样例 ASIN B0FPG9431G，并明确标注「演示样例」\n\n## 必须输出的结构（Markdown）\n1. **报告概览**：产品、ASIN/SKU、站点、评论量、均星、数据来源（是否经采集/翻译）\n2. **星级与核心指标**：1–5 星分布、好评率(4–5)、差评率(1–2)\n3. **情感与观点**：正/中/负占比；负面 TOP3、正面 TOP3（主题、强度、**中英摘录+原文**）\n4. **用户数据挖掘**：人群/场景假设、复购/退换意向信号、高频诉求词云要点\n5. **卖点 GAP**：官方/常见卖点 vs 用户感知落差\n6. **预警**：退换货意愿、集中质量问题、舆情升级风险\n7. **行动建议**（分角色）：电商 Listing / 服务话术 / MKT 素材\n8. **数据局限**：样本、翻译置信度、采集窗口\n\n## 原则\n- 情感判断以清洗后中英译文为主，争议点回看原文\n- 高星评论也可能含痛点，勿只按星级下结论\n- 不要编造精确到个位的虚假统计；样本不足时给定性并说明\n- 合规：仅作合法市场与口碑分析用途","planSteps":["确认已承接采集+翻译清洗语料（或演示样例）","星级分布与正负向情感判断","主题聚类与用户数据挖掘（诉求/场景/退换信号）","卖点 GAP 与预警识别","生成分角色行动建议（电商 / 服务 / MKT）"],"nameZh":"订单评论分析","sourceType":"internal","visibility":"org","ownerDeptIds":["ecommerce"],"ownerRegionId":"apac","ownerRegionIds":["apac"],"businessScenarioId":"S1","featuredInMssMarket":true}</x:v>
      </x:c>
    </x:row>
    <x:row r="20" ht="82" customHeight="1">
      <x:c r="A20" s="28" t="str">
        <x:v>skill-retail-insight</x:v>
      </x:c>
      <x:c r="B20" s="28" t="str">
        <x:v>零售信息洞察</x:v>
      </x:c>
      <x:c r="C20" s="11" t="str">
        <x:v>【管理提效】零售信息洞察 π · 门店 DOS/转化/陈列报告（可在做任务 /零售洞察 调用）</x:v>
      </x:c>
      <x:c r="D20" s="11" t="str">
        <x:v>零售</x:v>
      </x:c>
      <x:c r="E20" s="28" t="str">
        <x:v>retail</x:v>
      </x:c>
      <x:c r="F20" s="11" t="str">
        <x:v>拉美 (latam)</x:v>
      </x:c>
      <x:c r="G20" s="11" t="str">
        <x:v>拉美</x:v>
      </x:c>
      <x:c r="H20" s="11" t="str"/>
      <x:c r="I20" s="11" t="str">
        <x:v>选定门店范围与指标（DOS/转化/陈列）、拉取并校验零售数据口径、识别异常门店与机会门店、生成洞察 π 报告与动作清单</x:v>
      </x:c>
      <x:c r="J20" s="11" t="n">
        <x:v>0</x:v>
      </x:c>
      <x:c r="K20" s="11" t="str"/>
      <x:c r="L20" s="11" t="str"/>
      <x:c r="M20" s="11" t="str">
        <x:v>你是 MSS「零售信息洞察 π」Skill（/零售洞察）。
## 必须输出
1. 范围与口径
2. DOS / 转化核心表
3. 异常门店清单
4. 原因假设
5. 动作建议（零售/供应/培训）
6. 局限</x:v>
      </x:c>
      <x:c r="N20" s="11" t="str"/>
      <x:c r="O20" s="11" t="str">
        <x:v>{"id":"skill-retail-insight","name":"RetailInsightPi","desc":"【管理提效】零售信息洞察 π · 门店 DOS/转化/陈列报告（可在做任务 /零售洞察 调用）","category":"manage","command":"/零售洞察","author":"华为 MSS","version":"1.8.0","connector":"iRetail · 对话 Runtime","published":true,"invokes":9800,"icon":"fa-store","tags":["零售","洞察π"],"instructions":"你是 MSS「零售信息洞察 π」Skill（/零售洞察）。\n\n## 必须输出\n1. 范围与口径\n2. DOS / 转化核心表\n3. 异常门店清单\n4. 原因假设\n5. 动作建议（零售/供应/培训）\n6. 局限","planSteps":["选定门店范围与指标（DOS/转化/陈列）","拉取并校验零售数据口径","识别异常门店与机会门店","生成洞察 π 报告与动作清单"],"nameZh":"零售信息洞察","nameEn":"RetailInsightPi","sourceType":"internal","visibility":"org","ownerDeptIds":["retail"],"ownerRegionId":"latam","ownerRegionIds":["latam"],"businessScenarioId":"S1","featuredInMssMarket":true}</x:v>
      </x:c>
    </x:row>
    <x:row r="21" ht="82" customHeight="1">
      <x:c r="A21" s="28" t="str">
        <x:v>skill-price-monitor</x:v>
      </x:c>
      <x:c r="B21" s="28" t="str">
        <x:v>价格与 Offer 监测</x:v>
      </x:c>
      <x:c r="C21" s="11" t="str">
        <x:v>【管理提效】价格监测 · 18 国多渠道价格 &amp; offer 监测（可在做任务 /价格监测 调用）</x:v>
      </x:c>
      <x:c r="D21" s="11" t="str">
        <x:v>GTM</x:v>
      </x:c>
      <x:c r="E21" s="28" t="str">
        <x:v>gtm</x:v>
      </x:c>
      <x:c r="F21" s="11" t="str">
        <x:v>亚太 (apac)</x:v>
      </x:c>
      <x:c r="G21" s="11" t="str">
        <x:v>亚太</x:v>
      </x:c>
      <x:c r="H21" s="11" t="str"/>
      <x:c r="I21" s="11" t="str">
        <x:v>确认监测国家、渠道与 SKU 清单、聚合价格与 offer 变化、识别异常降价/窜货信号、输出监测简报与跟进建议</x:v>
      </x:c>
      <x:c r="J21" s="11" t="n">
        <x:v>0</x:v>
      </x:c>
      <x:c r="K21" s="11" t="str"/>
      <x:c r="L21" s="11" t="str"/>
      <x:c r="M21" s="11" t="str">
        <x:v>你是 MSS「价格与 Offer 监测」Skill（/价格监测）。
## 必须输出
1. 监测范围（国家/渠道/SKU）
2. 价格带与周变化
3. 异常告警（降价幅度/窜货嫌疑）
4. Offer 变化（赠品/满减）
5. 给电商/渠道的建议
6. 标注演示样例与数据局限</x:v>
      </x:c>
      <x:c r="N21" s="11" t="str"/>
      <x:c r="O21" s="11" t="str">
        <x:v>{"id":"skill-price-monitor","name":"PriceOfferMonitor","desc":"【管理提效】价格监测 · 18 国多渠道价格 &amp; offer 监测（可在做任务 /价格监测 调用）","category":"manage","command":"/价格监测","author":"华为 MSS","version":"3.0.1","connector":"Market Intel · 对话 Runtime","published":true,"invokes":25600,"icon":"fa-tags","tags":["价格","offer","价格监测"],"instructions":"你是 MSS「价格与 Offer 监测」Skill（/价格监测）。\n\n## 必须输出\n1. 监测范围（国家/渠道/SKU）\n2. 价格带与周变化\n3. 异常告警（降价幅度/窜货嫌疑）\n4. Offer 变化（赠品/满减）\n5. 给电商/渠道的建议\n6. 标注演示样例与数据局限","planSteps":["确认监测国家、渠道与 SKU 清单","聚合价格与 offer 变化","识别异常降价/窜货信号","输出监测简报与跟进建议"],"nameZh":"价格与 Offer 监测","nameEn":"PriceOfferMonitor","sourceType":"internal","visibility":"org","ownerDeptIds":["gtm"],"ownerRegionId":"apac","ownerRegionIds":["apac"],"businessScenarioId":"S1","featuredInMssMarket":true}</x:v>
      </x:c>
    </x:row>
    <x:row r="22" ht="82" customHeight="1">
      <x:c r="A22" s="28" t="str">
        <x:v>skill-so-report</x:v>
      </x:c>
      <x:c r="B22" s="28" t="str">
        <x:v>SO/SI 报表</x:v>
      </x:c>
      <x:c r="C22" s="11" t="str">
        <x:v>代表处 SO/SI 排名、环比、IoT 剔除报表（可在做任务 /so报表 调用）</x:v>
      </x:c>
      <x:c r="D22" s="11" t="str">
        <x:v>GTM</x:v>
      </x:c>
      <x:c r="E22" s="28" t="str">
        <x:v>gtm</x:v>
      </x:c>
      <x:c r="F22" s="11" t="str">
        <x:v>亚太 (apac)</x:v>
      </x:c>
      <x:c r="G22" s="11" t="str">
        <x:v>亚太</x:v>
      </x:c>
      <x:c r="H22" s="11" t="str"/>
      <x:c r="I22" s="11" t="str">
        <x:v>确认统计周期与剔除规则（如 IoT）、汇总代表处 SO/SI 与排名、计算环比与结构占比、生成报表结论与跟进项</x:v>
      </x:c>
      <x:c r="J22" s="11" t="n">
        <x:v>0</x:v>
      </x:c>
      <x:c r="K22" s="11" t="str"/>
      <x:c r="L22" s="11" t="str"/>
      <x:c r="M22" s="11" t="str">
        <x:v>你是 MSS「SO/SI 报表」Skill（/so报表）。
## 必须输出
1. 口径（周期、剔除规则）
2. 代表处排名表
3. 环比亮点/落后点
4. 结构说明（品类）
5. 跟进建议
6. 数据局限</x:v>
      </x:c>
      <x:c r="N22" s="11" t="str"/>
      <x:c r="O22" s="11" t="str">
        <x:v>{"id":"skill-so-report","name":"SOReportBuilder","desc":"代表处 SO/SI 排名、环比、IoT 剔除报表（可在做任务 /so报表 调用）","category":"manage","command":"/so报表","author":"华为 MSS","version":"3.0.1","connector":"ISRP · 对话 Runtime","published":true,"invokes":14300,"icon":"fa-table","tags":["SO","代表处","返利"],"instructions":"你是 MSS「SO/SI 报表」Skill（/so报表）。\n\n## 必须输出\n1. 口径（周期、剔除规则）\n2. 代表处排名表\n3. 环比亮点/落后点\n4. 结构说明（品类）\n5. 跟进建议\n6. 数据局限","planSteps":["确认统计周期与剔除规则（如 IoT）","汇总代表处 SO/SI 与排名","计算环比与结构占比","生成报表结论与跟进项"],"nameZh":"SO/SI 报表","nameEn":"SOReportBuilder","sourceType":"internal","visibility":"org","ownerDeptIds":["gtm"],"ownerRegionId":"apac","ownerRegionIds":["apac"],"businessScenarioId":"S8","featuredInMssMarket":true}</x:v>
      </x:c>
    </x:row>
    <x:row r="23" ht="82" customHeight="1">
      <x:c r="A23" s="28" t="str">
        <x:v>skill-jd-parser</x:v>
      </x:c>
      <x:c r="B23" s="28" t="str">
        <x:v>JD 解析</x:v>
      </x:c>
      <x:c r="C23" s="11" t="str">
        <x:v>【流程提效】招聘 JD 结构化解析与胜任力提取（可在做任务 /jd解析 调用）</x:v>
      </x:c>
      <x:c r="D23" s="11" t="str">
        <x:v>HR</x:v>
      </x:c>
      <x:c r="E23" s="28" t="str">
        <x:v>hr</x:v>
      </x:c>
      <x:c r="F23" s="11" t="str"/>
      <x:c r="G23" s="11" t="str"/>
      <x:c r="H23" s="11" t="str"/>
      <x:c r="I23" s="11" t="str">
        <x:v>识别岗位与职级信息、抽取职责、要求与胜任力标签、结构化为招聘标准字段、输出筛选权重建议</x:v>
      </x:c>
      <x:c r="J23" s="11" t="n">
        <x:v>0</x:v>
      </x:c>
      <x:c r="K23" s="11" t="str"/>
      <x:c r="L23" s="11" t="str"/>
      <x:c r="M23" s="11" t="str">
        <x:v>你是 MSS「JD 解析」Skill（/jd解析）。
## 必须输出
1. 岗位元信息
2. 职责列表
3. 硬性/加分要求
4. 胜任力标签
5. 建议筛选权重
6. 待 HR 确认项</x:v>
      </x:c>
      <x:c r="N23" s="11" t="str"/>
      <x:c r="O23" s="11" t="str">
        <x:v>{"id":"skill-jd-parser","name":"JDParser","desc":"【流程提效】招聘 JD 结构化解析与胜任力提取（可在做任务 /jd解析 调用）","category":"process","command":"/jd解析","author":"华为 MSS","version":"1.0.2","connector":"HR Hub · 对话 Runtime","published":true,"invokes":3200,"icon":"fa-briefcase","tags":["JD","HR"],"instructions":"你是 MSS「JD 解析」Skill（/jd解析）。\n\n## 必须输出\n1. 岗位元信息\n2. 职责列表\n3. 硬性/加分要求\n4. 胜任力标签\n5. 建议筛选权重\n6. 待 HR 确认项","planSteps":["识别岗位与职级信息","抽取职责、要求与胜任力标签","结构化为招聘标准字段","输出筛选权重建议"],"nameZh":"JD 解析","nameEn":"JDParser","sourceType":"internal","visibility":"org","ownerDeptIds":["hr"],"ownerRegionId":null,"ownerRegionIds":[],"businessScenarioId":"S7","featuredInMssMarket":true}</x:v>
      </x:c>
    </x:row>
    <x:row r="24" ht="82" customHeight="1">
      <x:c r="A24" s="28" t="str">
        <x:v>skill-resume-screen</x:v>
      </x:c>
      <x:c r="B24" s="28" t="str">
        <x:v>简历筛选</x:v>
      </x:c>
      <x:c r="C24" s="11" t="str">
        <x:v>【流程提效】招聘需求简历分析 · AI 简历筛选与人岗匹配（可在做任务 /简历筛选 调用）</x:v>
      </x:c>
      <x:c r="D24" s="11" t="str">
        <x:v>HR</x:v>
      </x:c>
      <x:c r="E24" s="28" t="str">
        <x:v>hr</x:v>
      </x:c>
      <x:c r="F24" s="11" t="str"/>
      <x:c r="G24" s="11" t="str"/>
      <x:c r="H24" s="11" t="str"/>
      <x:c r="I24" s="11" t="str">
        <x:v>对齐 JD 关键要求、解析简历经历与成果、人岗匹配打分与风险点、输出面试关注清单</x:v>
      </x:c>
      <x:c r="J24" s="11" t="n">
        <x:v>0</x:v>
      </x:c>
      <x:c r="K24" s="11" t="str"/>
      <x:c r="L24" s="11" t="str"/>
      <x:c r="M24" s="11" t="str">
        <x:v>你是 MSS「简历筛选」Skill（/简历筛选）。
## 必须输出
1. 匹配总分与分项
2. 亮点
3. 风险/缺口
4. 建议结论（推进/待定/淘汰）
5. 面试问题 5 条
6. 声明：辅助决策，非录用决定</x:v>
      </x:c>
      <x:c r="N24" s="11" t="str"/>
      <x:c r="O24" s="11" t="str">
        <x:v>{"id":"skill-resume-screen","name":"ResumeScreener","desc":"【流程提效】招聘需求简历分析 · AI 简历筛选与人岗匹配（可在做任务 /简历筛选 调用）","category":"process","command":"/简历筛选","author":"华为 MSS","version":"1.4.0","connector":"HR Hub · 对话 Runtime","published":true,"invokes":4100,"icon":"fa-user-check","tags":["简历","HR"],"instructions":"你是 MSS「简历筛选」Skill（/简历筛选）。\n\n## 必须输出\n1. 匹配总分与分项\n2. 亮点\n3. 风险/缺口\n4. 建议结论（推进/待定/淘汰）\n5. 面试问题 5 条\n6. 声明：辅助决策，非录用决定","planSteps":["对齐 JD 关键要求","解析简历经历与成果","人岗匹配打分与风险点","输出面试关注清单"],"nameZh":"简历筛选","nameEn":"ResumeScreener","sourceType":"internal","visibility":"org","ownerDeptIds":["hr"],"ownerRegionId":null,"ownerRegionIds":[],"businessScenarioId":"S7","featuredInMssMarket":true}</x:v>
      </x:c>
    </x:row>
    <x:row r="25" ht="82" customHeight="1">
      <x:c r="A25" s="28" t="str">
        <x:v>skill-interview-analysis</x:v>
      </x:c>
      <x:c r="B25" s="28" t="str">
        <x:v>面试分析</x:v>
      </x:c>
      <x:c r="C25" s="11" t="str">
        <x:v>【流程提效】面试记录分析与评估报告生成（可在做任务 /面试分析 调用）</x:v>
      </x:c>
      <x:c r="D25" s="11" t="str">
        <x:v>HR</x:v>
      </x:c>
      <x:c r="E25" s="28" t="str">
        <x:v>hr</x:v>
      </x:c>
      <x:c r="F25" s="11" t="str"/>
      <x:c r="G25" s="11" t="str"/>
      <x:c r="H25" s="11" t="str"/>
      <x:c r="I25" s="11" t="str">
        <x:v>整理面试记录与评价维度、提取行为事例与能力证据、生成评估报告与录用建议倾向、列出待核实背景调查点</x:v>
      </x:c>
      <x:c r="J25" s="11" t="n">
        <x:v>0</x:v>
      </x:c>
      <x:c r="K25" s="11" t="str"/>
      <x:c r="L25" s="11" t="str"/>
      <x:c r="M25" s="11" t="str">
        <x:v>你是 MSS「面试分析」Skill（/面试分析）。
## 必须输出
1. 候选人与轮次
2. 维度评分表
3. 关键行为证据
4. 倾向建议（含理由）
5. 待核实项
6. 非最终录用决定声明</x:v>
      </x:c>
      <x:c r="N25" s="11" t="str"/>
      <x:c r="O25" s="11" t="str">
        <x:v>{"id":"skill-interview-analysis","name":"InterviewAnalyzer","desc":"【流程提效】面试记录分析与评估报告生成（可在做任务 /面试分析 调用）","category":"process","command":"/面试分析","author":"华为 MSS","version":"1.2.0","connector":"HR Hub · 对话 Runtime","published":true,"invokes":2800,"icon":"fa-user-pen","tags":["面试","HR"],"instructions":"你是 MSS「面试分析」Skill（/面试分析）。\n\n## 必须输出\n1. 候选人与轮次\n2. 维度评分表\n3. 关键行为证据\n4. 倾向建议（含理由）\n5. 待核实项\n6. 非最终录用决定声明","planSteps":["整理面试记录与评价维度","提取行为事例与能力证据","生成评估报告与录用建议倾向","列出待核实背景调查点"],"nameZh":"面试分析","nameEn":"InterviewAnalyzer","sourceType":"internal","visibility":"org","ownerDeptIds":["hr"],"ownerRegionId":null,"ownerRegionIds":[],"businessScenarioId":"S7","featuredInMssMarket":true}</x:v>
      </x:c>
    </x:row>
    <x:row r="26" ht="82" customHeight="1">
      <x:c r="A26" s="28" t="str">
        <x:v>skill-training-gen</x:v>
      </x:c>
      <x:c r="B26" s="28" t="str">
        <x:v>培训内容生成</x:v>
      </x:c>
      <x:c r="C26" s="11" t="str">
        <x:v>【流程提效】AI 辅助培训内容生成 · Nova 新品门店培训（可在做任务 /培训内容 调用）</x:v>
      </x:c>
      <x:c r="D26" s="11" t="str">
        <x:v>零售</x:v>
      </x:c>
      <x:c r="E26" s="28" t="str">
        <x:v>retail</x:v>
      </x:c>
      <x:c r="F26" s="11" t="str">
        <x:v>亚太 (apac)</x:v>
      </x:c>
      <x:c r="G26" s="11" t="str">
        <x:v>亚太</x:v>
      </x:c>
      <x:c r="H26" s="11" t="str"/>
      <x:c r="I26" s="11" t="str">
        <x:v>确认产品/受众与课时、设计学习目标与大纲、生成讲义要点与测验题、输出门店演练脚本</x:v>
      </x:c>
      <x:c r="J26" s="11" t="n">
        <x:v>0</x:v>
      </x:c>
      <x:c r="K26" s="11" t="str"/>
      <x:c r="L26" s="11" t="str"/>
      <x:c r="M26" s="11" t="str">
        <x:v>你是 MSS「培训内容生成」Skill（/培训内容）。
## 必须输出
1. 学习目标
2. 课时大纲
3. 讲义要点
4. 测验题（含参考答案）
5. 门店演练脚本
6. 培训后跟踪建议</x:v>
      </x:c>
      <x:c r="N26" s="11" t="str"/>
      <x:c r="O26" s="11" t="str">
        <x:v>{"id":"skill-training-gen","name":"TrainingContentGen","desc":"【流程提效】AI 辅助培训内容生成 · Nova 新品门店培训（可在做任务 /培训内容 调用）","category":"process","command":"/培训内容","author":"华为 MSS","version":"1.6.0","connector":"LMS · 对话 Runtime","published":true,"invokes":4900,"icon":"fa-chalkboard-user","tags":["培训","Nova"],"instructions":"你是 MSS「培训内容生成」Skill（/培训内容）。\n\n## 必须输出\n1. 学习目标\n2. 课时大纲\n3. 讲义要点\n4. 测验题（含参考答案）\n5. 门店演练脚本\n6. 培训后跟踪建议","planSteps":["确认产品/受众与课时","设计学习目标与大纲","生成讲义要点与测验题","输出门店演练脚本"],"nameZh":"培训内容生成","nameEn":"TrainingContentGen","sourceType":"internal","visibility":"org","ownerDeptIds":["retail"],"ownerRegionId":"apac","ownerRegionIds":["apac"],"businessScenarioId":"S3","featuredInMssMarket":true}</x:v>
      </x:c>
    </x:row>
    <x:row r="27" ht="82" customHeight="1">
      <x:c r="A27" s="28" t="str">
        <x:v>skill-rag</x:v>
      </x:c>
      <x:c r="B27" s="28" t="str">
        <x:v>企业知识检索</x:v>
      </x:c>
      <x:c r="C27" s="11" t="str">
        <x:v>【体验提升】企业知识向量检索 · 按业务部门分区（可在做任务 /检索 调用）</x:v>
      </x:c>
      <x:c r="D27" s="11" t="str">
        <x:v>服务</x:v>
      </x:c>
      <x:c r="E27" s="28" t="str">
        <x:v>service</x:v>
      </x:c>
      <x:c r="F27" s="11" t="str"/>
      <x:c r="G27" s="11" t="str"/>
      <x:c r="H27" s="11" t="str"/>
      <x:c r="I27" s="11" t="str">
        <x:v>提问重写与术语对齐、按业务分区向量检索、汇总候选文档块、生成带引用的回答草稿</x:v>
      </x:c>
      <x:c r="J27" s="11" t="n">
        <x:v>0</x:v>
      </x:c>
      <x:c r="K27" s="11" t="str"/>
      <x:c r="L27" s="11" t="str"/>
      <x:c r="M27" s="11" t="str">
        <x:v>你是 MSS「企业知识检索」Skill（/检索）。按业务部门分区做向量检索演示。
## 必须输出
1. 改写后的查询
2. 命中文档列表（标题/分区/相关度定性）
3. 回答正文
4. 引用锚点
5. 未命中时的诚实说明
6. 标注演示样例</x:v>
      </x:c>
      <x:c r="N27" s="11" t="str"/>
      <x:c r="O27" s="11" t="str">
        <x:v>{"id":"skill-rag","name":"MilvusRetriever","desc":"【体验提升】企业知识向量检索 · 按业务部门分区（可在做任务 /检索 调用）","category":"experience","command":"/检索","author":"华为 MSS","version":"2.5.0","connector":"Milvus · 对话 Runtime","published":true,"invokes":19800,"icon":"fa-database","tags":["RAG","知识库","知识","归档"],"instructions":"你是 MSS「企业知识检索」Skill（/检索）。按业务部门分区做向量检索演示。\n\n## 必须输出\n1. 改写后的查询\n2. 命中文档列表（标题/分区/相关度定性）\n3. 回答正文\n4. 引用锚点\n5. 未命中时的诚实说明\n6. 标注演示样例","planSteps":["提问重写与术语对齐","按业务分区向量检索","汇总候选文档块","生成带引用的回答草稿"],"nameZh":"企业知识检索","nameEn":"MilvusRetriever","sourceType":"internal","visibility":"org","ownerDeptIds":["service"],"ownerRegionId":null,"ownerRegionIds":[],"businessScenarioId":"S6","featuredInMssMarket":true}</x:v>
      </x:c>
    </x:row>
    <x:row r="28" ht="82" customHeight="1">
      <x:c r="A28" s="28" t="str">
        <x:v>skill-rerank</x:v>
      </x:c>
      <x:c r="B28" s="28" t="str">
        <x:v>检索重排序</x:v>
      </x:c>
      <x:c r="C28" s="11" t="str">
        <x:v>【体验提升】检索结果 Cross-Encoder 重排序（可在做任务 /rerank 调用）</x:v>
      </x:c>
      <x:c r="D28" s="11" t="str">
        <x:v>服务</x:v>
      </x:c>
      <x:c r="E28" s="28" t="str">
        <x:v>service</x:v>
      </x:c>
      <x:c r="F28" s="11" t="str"/>
      <x:c r="G28" s="11" t="str"/>
      <x:c r="H28" s="11" t="str"/>
      <x:c r="I28" s="11" t="str">
        <x:v>接收初检候选列表、Cross-Encoder 语义重排、截断 Top-K 并解释排序理由、输出供摘要使用的精选块</x:v>
      </x:c>
      <x:c r="J28" s="11" t="n">
        <x:v>0</x:v>
      </x:c>
      <x:c r="K28" s="11" t="str"/>
      <x:c r="L28" s="11" t="str"/>
      <x:c r="M28" s="11" t="str">
        <x:v>你是 MSS「检索重排序」Skill（/rerank）。
## 必须输出
1. 输入候选概览
2. Top-K 精选列表
3. 每条排序理由
4. 被降权样本说明
5. 建议是否进入摘要生成</x:v>
      </x:c>
      <x:c r="N28" s="11" t="str"/>
      <x:c r="O28" s="11" t="str">
        <x:v>{"id":"skill-rerank","name":"CrossEncoderReranker","desc":"【体验提升】检索结果 Cross-Encoder 重排序（可在做任务 /rerank 调用）","category":"experience","command":"/rerank","author":"华为 MSS","version":"1.0.0","connector":"Model Hub · 对话 Runtime","published":true,"invokes":6200,"icon":"fa-sort-amount-down","tags":["RAG"],"instructions":"你是 MSS「检索重排序」Skill（/rerank）。\n\n## 必须输出\n1. 输入候选概览\n2. Top-K 精选列表\n3. 每条排序理由\n4. 被降权样本说明\n5. 建议是否进入摘要生成","planSteps":["接收初检候选列表","Cross-Encoder 语义重排","截断 Top-K 并解释排序理由","输出供摘要使用的精选块"],"nameZh":"检索重排序","nameEn":"CrossEncoderReranker","sourceType":"internal","visibility":"org","ownerDeptIds":["service"],"ownerRegionId":null,"ownerRegionIds":[],"businessScenarioId":"S6","featuredInMssMarket":true}</x:v>
      </x:c>
    </x:row>
    <x:row r="29" ht="82" customHeight="1">
      <x:c r="A29" s="28" t="str">
        <x:v>skill-retail-coach</x:v>
      </x:c>
      <x:c r="B29" s="28" t="str">
        <x:v>零售 AI 陪练</x:v>
      </x:c>
      <x:c r="C29" s="11" t="str">
        <x:v>【体验提升】零售 AI 陪练 · 卖点演练与考核反馈（可在做任务 /陪练 调用）</x:v>
      </x:c>
      <x:c r="D29" s="11" t="str">
        <x:v>零售</x:v>
      </x:c>
      <x:c r="E29" s="28" t="str">
        <x:v>retail</x:v>
      </x:c>
      <x:c r="F29" s="11" t="str">
        <x:v>亚太 (apac)</x:v>
      </x:c>
      <x:c r="G29" s="11" t="str">
        <x:v>亚太</x:v>
      </x:c>
      <x:c r="H29" s="11" t="str"/>
      <x:c r="I29" s="11" t="str">
        <x:v>设定演练场景与考核点、生成顾客异议与标准应答、模拟一轮对话并评分、输出改进建议与再练脚本</x:v>
      </x:c>
      <x:c r="J29" s="11" t="n">
        <x:v>0</x:v>
      </x:c>
      <x:c r="K29" s="11" t="str"/>
      <x:c r="L29" s="11" t="str"/>
      <x:c r="M29" s="11" t="str">
        <x:v>你是 MSS「零售 AI 陪练」Skill（/陪练）。
## 必须输出
1. 场景与考核点
2. 模拟对话（顾客/店员）
3. 维度评分
4. 改进建议
5. 再练 3 句金句</x:v>
      </x:c>
      <x:c r="N29" s="11" t="str"/>
      <x:c r="O29" s="11" t="str">
        <x:v>{"id":"skill-retail-coach","name":"RetailAICoach","desc":"【体验提升】零售 AI 陪练 · 卖点演练与考核反馈（可在做任务 /陪练 调用）","category":"experience","command":"/陪练","author":"华为 MSS","version":"1.1.0","connector":"LMS · 对话 Runtime","published":true,"invokes":3600,"icon":"fa-headset","tags":["陪练","门店"],"instructions":"你是 MSS「零售 AI 陪练」Skill（/陪练）。\n\n## 必须输出\n1. 场景与考核点\n2. 模拟对话（顾客/店员）\n3. 维度评分\n4. 改进建议\n5. 再练 3 句金句","planSteps":["设定演练场景与考核点","生成顾客异议与标准应答","模拟一轮对话并评分","输出改进建议与再练脚本"],"nameZh":"零售 AI 陪练","nameEn":"RetailAICoach","sourceType":"internal","visibility":"org","ownerDeptIds":["retail"],"ownerRegionId":"apac","ownerRegionIds":["apac"],"businessScenarioId":"S3","featuredInMssMarket":true}</x:v>
      </x:c>
    </x:row>
    <x:row r="30" ht="82" customHeight="1">
      <x:c r="A30" s="28" t="str">
        <x:v>skill-complaint-sop</x:v>
      </x:c>
      <x:c r="B30" s="28" t="str">
        <x:v>客诉 SOP 匹配</x:v>
      </x:c>
      <x:c r="C30" s="11" t="str">
        <x:v>【体验提升】客诉 SOP 检索与话术推荐（可在做任务 /客诉 调用）</x:v>
      </x:c>
      <x:c r="D30" s="11" t="str">
        <x:v>服务</x:v>
      </x:c>
      <x:c r="E30" s="28" t="str">
        <x:v>service</x:v>
      </x:c>
      <x:c r="F30" s="11" t="str">
        <x:v>欧亚 (eurasia)</x:v>
      </x:c>
      <x:c r="G30" s="11" t="str">
        <x:v>欧亚</x:v>
      </x:c>
      <x:c r="H30" s="11" t="str"/>
      <x:c r="I30" s="11" t="str">
        <x:v>识别客诉类型与紧急度、匹配 SOP 与话术模板、生成对客回复草稿、列出升级路径与工单字段</x:v>
      </x:c>
      <x:c r="J30" s="11" t="n">
        <x:v>0</x:v>
      </x:c>
      <x:c r="K30" s="11" t="str"/>
      <x:c r="L30" s="11" t="str"/>
      <x:c r="M30" s="11" t="str">
        <x:v>你是 MSS「客诉 SOP 匹配」Skill（/客诉）。
## 必须输出
1. 客诉分类与紧急度
2. 匹配 SOP 条款
3. 对客话术（多语种可选）
4. 内部动作/升级条件
5. 工单建议字段
6. 演示样例声明</x:v>
      </x:c>
      <x:c r="N30" s="11" t="str"/>
      <x:c r="O30" s="11" t="str">
        <x:v>{"id":"skill-complaint-sop","name":"ComplaintSOPMatch","desc":"【体验提升】客诉 SOP 检索与话术推荐（可在做任务 /客诉 调用）","category":"experience","command":"/客诉","author":"华为 MSS","version":"2.2.0","connector":"CSC Ticket · 对话 Runtime","published":true,"invokes":8300,"icon":"fa-ticket","tags":["客诉","SOP"],"instructions":"你是 MSS「客诉 SOP 匹配」Skill（/客诉）。\n\n## 必须输出\n1. 客诉分类与紧急度\n2. 匹配 SOP 条款\n3. 对客话术（多语种可选）\n4. 内部动作/升级条件\n5. 工单建议字段\n6. 演示样例声明","planSteps":["识别客诉类型与紧急度","匹配 SOP 与话术模板","生成对客回复草稿","列出升级路径与工单字段"],"nameZh":"客诉 SOP 匹配","nameEn":"ComplaintSOPMatch","sourceType":"internal","visibility":"org","ownerDeptIds":["service"],"ownerRegionId":"eurasia","ownerRegionIds":["eurasia"],"businessScenarioId":"S5","featuredInMssMarket":true}</x:v>
      </x:c>
    </x:row>
    <x:row r="31" ht="82" customHeight="1">
      <x:c r="A31" s="28" t="str">
        <x:v>skill-wecom</x:v>
      </x:c>
      <x:c r="B31" s="28" t="str">
        <x:v>企微消息推送</x:v>
      </x:c>
      <x:c r="C31" s="11" t="str">
        <x:v>企业微信消息/卡片/群机器人推送（可在做任务 /wecom 调用）</x:v>
      </x:c>
      <x:c r="D31" s="11" t="str">
        <x:v>服务</x:v>
      </x:c>
      <x:c r="E31" s="28" t="str">
        <x:v>service</x:v>
      </x:c>
      <x:c r="F31" s="11" t="str"/>
      <x:c r="G31" s="11" t="str"/>
      <x:c r="H31" s="11" t="str"/>
      <x:c r="I31" s="11" t="str">
        <x:v>确认推送对象与消息类型、组装卡片/文本内容、校验敏感信息与频率、输出推送预览与发送清单</x:v>
      </x:c>
      <x:c r="J31" s="11" t="n">
        <x:v>0</x:v>
      </x:c>
      <x:c r="K31" s="11" t="str"/>
      <x:c r="L31" s="11" t="str"/>
      <x:c r="M31" s="11" t="str">
        <x:v>你是 MSS「企业微信推送」Skill（/wecom）。演示环境只生成推送预览，不真实调用 WeCom API。
## 必须输出
1. 推送对象与通道
2. 消息类型（文本/卡片）
3. 标题与要点
4. 按钮/链接占位
5. 合规与频率检查
6. 明确「演示未真实发送」</x:v>
      </x:c>
      <x:c r="N31" s="11" t="str"/>
      <x:c r="O31" s="11" t="str">
        <x:v>{"id":"skill-wecom","name":"WeComPush","desc":"企业微信消息/卡片/群机器人推送（可在做任务 /wecom 调用）","category":"experience","command":"/wecom","author":"华为 MSS","version":"2.0.0","connector":"WeCom API · 对话 Runtime","published":true,"invokes":22100,"icon":"fa-comment-dots","tags":["WeCom","推送"],"instructions":"你是 MSS「企业微信推送」Skill（/wecom）。演示环境只生成推送预览，不真实调用 WeCom API。\n\n## 必须输出\n1. 推送对象与通道\n2. 消息类型（文本/卡片）\n3. 标题与要点\n4. 按钮/链接占位\n5. 合规与频率检查\n6. 明确「演示未真实发送」","planSteps":["确认推送对象与消息类型","组装卡片/文本内容","校验敏感信息与频率","输出推送预览与发送清单"],"nameZh":"企微消息推送","nameEn":"WeComPush","sourceType":"internal","visibility":"org","ownerDeptIds":["service"],"ownerRegionId":null,"ownerRegionIds":[],"businessScenarioId":"S5","featuredInMssMarket":true}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a80c7351cd244b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22" hidden="0" customWidth="1"/>
    <x:col min="4" max="4" width="12" hidden="0" customWidth="1"/>
    <x:col min="5" max="5" width="22" hidden="0" customWidth="1"/>
    <x:col min="6" max="6" width="14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3" hidden="0" customWidth="1"/>
    <x:col min="13" max="13" width="12" hidden="0" customWidth="1"/>
    <x:col min="14" max="14" width="12" hidden="0" customWidth="1"/>
    <x:col min="15" max="15" width="10" hidden="0" customWidth="1"/>
    <x:col min="16" max="16" width="10" hidden="0" customWidth="1"/>
    <x:col min="17" max="17" width="12" hidden="0" customWidth="1"/>
    <x:col min="18" max="18" width="10" hidden="0" customWidth="1"/>
    <x:col min="19" max="19" width="12" hidden="0" customWidth="1"/>
    <x:col min="20" max="20" width="12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20" hidden="0" customWidth="1"/>
    <x:col min="26" max="26" width="24" hidden="0" customWidth="1"/>
    <x:col min="27" max="27" width="12" hidden="0" customWidth="1"/>
    <x:col min="28" max="28" width="14" hidden="0" customWidth="1"/>
    <x:col min="29" max="29" width="14" hidden="0" customWidth="1"/>
    <x:col min="30" max="30" width="24" hidden="0" customWidth="1"/>
    <x:col min="31" max="31" width="16" hidden="0" customWidth="1"/>
    <x:col min="32" max="32" width="20" hidden="0" customWidth="1"/>
  </x:cols>
  <x:sheetData>
    <x:row r="1" ht="28" customHeight="1">
      <x:c r="A1" s="21" t="str">
        <x:v>Agent 明细 · 当前工作区 marketplace 快照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  <x:c r="AA1" s="21"/>
      <x:c r="AB1" s="21"/>
      <x:c r="AC1" s="21"/>
      <x:c r="AD1" s="21"/>
      <x:c r="AE1" s="21"/>
      <x:c r="AF1" s="21"/>
    </x:row>
    <x:row r="2" ht="32" customHeight="1">
      <x:c r="A2" s="22" t="str">
        <x:v>工作区：ws-cn-marketing · 共 18 条；Agent 的可调用状态以市场快照 published 为准。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  <x:c r="AE2" s="22"/>
      <x:c r="AF2" s="22"/>
    </x:row>
    <x:row r="4" ht="32" customHeight="1">
      <x:c r="A4" s="26" t="str">
        <x:v>序号</x:v>
      </x:c>
      <x:c r="B4" s="26" t="str">
        <x:v>Agent ID</x:v>
      </x:c>
      <x:c r="C4" s="26" t="str">
        <x:v>名称</x:v>
      </x:c>
      <x:c r="D4" s="26" t="str">
        <x:v>分类</x:v>
      </x:c>
      <x:c r="E4" s="26" t="str">
        <x:v>业务线</x:v>
      </x:c>
      <x:c r="F4" s="26" t="str">
        <x:v>首页标签</x:v>
      </x:c>
      <x:c r="G4" s="26" t="str">
        <x:v>业务场景ID</x:v>
      </x:c>
      <x:c r="H4" s="26" t="str">
        <x:v>业务场景</x:v>
      </x:c>
      <x:c r="I4" s="26" t="str">
        <x:v>作者</x:v>
      </x:c>
      <x:c r="J4" s="26" t="str">
        <x:v>发布者</x:v>
      </x:c>
      <x:c r="K4" s="26" t="str">
        <x:v>发布者ID</x:v>
      </x:c>
      <x:c r="L4" s="26" t="str">
        <x:v>更新时间</x:v>
      </x:c>
      <x:c r="M4" s="26" t="str">
        <x:v>可见范围</x:v>
      </x:c>
      <x:c r="N4" s="26" t="str">
        <x:v>来源类型</x:v>
      </x:c>
      <x:c r="O4" s="26" t="str">
        <x:v>已发布</x:v>
      </x:c>
      <x:c r="P4" s="26" t="str">
        <x:v>精选</x:v>
      </x:c>
      <x:c r="Q4" s="26" t="str">
        <x:v>调用次数</x:v>
      </x:c>
      <x:c r="R4" s="26" t="str">
        <x:v>互动记录</x:v>
      </x:c>
      <x:c r="S4" s="26" t="str">
        <x:v>浏览量</x:v>
      </x:c>
      <x:c r="T4" s="26" t="str">
        <x:v>使用次数</x:v>
      </x:c>
      <x:c r="U4" s="26" t="str">
        <x:v>点赞</x:v>
      </x:c>
      <x:c r="V4" s="26" t="str">
        <x:v>点踩</x:v>
      </x:c>
      <x:c r="W4" s="26" t="str">
        <x:v>下载</x:v>
      </x:c>
      <x:c r="X4" s="26" t="str">
        <x:v>收藏</x:v>
      </x:c>
      <x:c r="Y4" s="26" t="str">
        <x:v>互动更新时间</x:v>
      </x:c>
      <x:c r="Z4" s="26" t="str">
        <x:v>主Skill ID</x:v>
      </x:c>
      <x:c r="AA4" s="26" t="str">
        <x:v>挂载Skill数</x:v>
      </x:c>
      <x:c r="AB4" s="26" t="str">
        <x:v>聊天入口</x:v>
      </x:c>
      <x:c r="AC4" s="26" t="str">
        <x:v>图标</x:v>
      </x:c>
      <x:c r="AD4" s="26" t="str">
        <x:v>颜色</x:v>
      </x:c>
      <x:c r="AE4" s="26" t="str">
        <x:v>头像预设</x:v>
      </x:c>
      <x:c r="AF4" s="26" t="str">
        <x:v>市场快照更新时间</x:v>
      </x:c>
    </x:row>
    <x:row r="5" ht="24" customHeight="1">
      <x:c r="A5" s="28" t="n">
        <x:v>1</x:v>
      </x:c>
      <x:c r="B5" s="28" t="str">
        <x:v>agent-import-probe</x:v>
      </x:c>
      <x:c r="C5" s="11" t="str">
        <x:v>导入验证 Agent</x:v>
      </x:c>
      <x:c r="D5" s="28" t="str">
        <x:v>办公提效</x:v>
      </x:c>
      <x:c r="E5" s="11" t="str">
        <x:v>office</x:v>
      </x:c>
      <x:c r="F5" s="28" t="str">
        <x:v>mkt</x:v>
      </x:c>
      <x:c r="G5" s="28" t="str"/>
      <x:c r="H5" s="28" t="str"/>
      <x:c r="I5" s="11" t="str">
        <x:v>Imported</x:v>
      </x:c>
      <x:c r="J5" s="11" t="str">
        <x:v>Mcyo</x:v>
      </x:c>
      <x:c r="K5" s="11" t="str">
        <x:v>u-mcyo</x:v>
      </x:c>
      <x:c r="L5" s="11" t="str"/>
      <x:c r="M5" s="11" t="str"/>
      <x:c r="N5" s="11" t="str"/>
      <x:c r="O5" s="28" t="str">
        <x:v>是</x:v>
      </x:c>
      <x:c r="P5" s="28" t="str"/>
      <x:c r="Q5" s="28" t="n">
        <x:v>0</x:v>
      </x:c>
      <x:c r="R5" s="28" t="str">
        <x:v>否</x:v>
      </x:c>
      <x:c r="S5" s="28" t="n">
        <x:v>0</x:v>
      </x:c>
      <x:c r="T5" s="28" t="n">
        <x:v>0</x:v>
      </x:c>
      <x:c r="U5" s="28" t="n">
        <x:v>0</x:v>
      </x:c>
      <x:c r="V5" s="28" t="n">
        <x:v>0</x:v>
      </x:c>
      <x:c r="W5" s="28" t="n">
        <x:v>0</x:v>
      </x:c>
      <x:c r="X5" s="28" t="n">
        <x:v>0</x:v>
      </x:c>
      <x:c r="Y5" s="11" t="str"/>
      <x:c r="Z5" s="11" t="str"/>
      <x:c r="AA5" s="28" t="n">
        <x:v>0</x:v>
      </x:c>
      <x:c r="AB5" s="11" t="str">
        <x:v>marketing</x:v>
      </x:c>
      <x:c r="AC5" s="11" t="str">
        <x:v>fa-robot</x:v>
      </x:c>
      <x:c r="AD5" s="11" t="str">
        <x:v>from-zinc-700 to-zinc-900</x:v>
      </x:c>
      <x:c r="AE5" s="11" t="str"/>
      <x:c r="AF5" s="28" t="str">
        <x:v>​2026-09-01T03:11:41.453Z</x:v>
      </x:c>
    </x:row>
    <x:row r="6" ht="24" customHeight="1">
      <x:c r="A6" s="28" t="n">
        <x:v>2</x:v>
      </x:c>
      <x:c r="B6" s="28" t="str">
        <x:v>agent-marketing</x:v>
      </x:c>
      <x:c r="C6" s="11" t="str">
        <x:v>营销 Agent</x:v>
      </x:c>
      <x:c r="D6" s="28" t="str">
        <x:v>管理提效</x:v>
      </x:c>
      <x:c r="E6" s="11" t="str">
        <x:v>数据分析</x:v>
      </x:c>
      <x:c r="F6" s="28" t="str">
        <x:v>gtm</x:v>
      </x:c>
      <x:c r="G6" s="28" t="str">
        <x:v>S8</x:v>
      </x:c>
      <x:c r="H6" s="28" t="str">
        <x:v>数据分析</x:v>
      </x:c>
      <x:c r="I6" s="11" t="str">
        <x:v>华为 MSS</x:v>
      </x:c>
      <x:c r="J6" s="11" t="str">
        <x:v>Mcyo</x:v>
      </x:c>
      <x:c r="K6" s="11" t="str">
        <x:v>u-mcyo</x:v>
      </x:c>
      <x:c r="L6" s="11" t="str">
        <x:v>​2026-08-19</x:v>
      </x:c>
      <x:c r="M6" s="11" t="str">
        <x:v>公开可见</x:v>
      </x:c>
      <x:c r="N6" s="11" t="str"/>
      <x:c r="O6" s="28" t="str">
        <x:v>是</x:v>
      </x:c>
      <x:c r="P6" s="28" t="str">
        <x:v>是</x:v>
      </x:c>
      <x:c r="Q6" s="28" t="n">
        <x:v>5200</x:v>
      </x:c>
      <x:c r="R6" s="28" t="str">
        <x:v>是</x:v>
      </x:c>
      <x:c r="S6" s="28" t="n">
        <x:v>12</x:v>
      </x:c>
      <x:c r="T6" s="28" t="n">
        <x:v>0</x:v>
      </x:c>
      <x:c r="U6" s="28" t="n">
        <x:v>0</x:v>
      </x:c>
      <x:c r="V6" s="28" t="n">
        <x:v>0</x:v>
      </x:c>
      <x:c r="W6" s="28" t="n">
        <x:v>1</x:v>
      </x:c>
      <x:c r="X6" s="28" t="n">
        <x:v>0</x:v>
      </x:c>
      <x:c r="Y6" s="11" t="str">
        <x:v>​2026-08-28T08:12:02.197Z</x:v>
      </x:c>
      <x:c r="Z6" s="11" t="str">
        <x:v>skill-data-analysis</x:v>
      </x:c>
      <x:c r="AA6" s="28" t="n">
        <x:v>5</x:v>
      </x:c>
      <x:c r="AB6" s="11" t="str">
        <x:v>marketing</x:v>
      </x:c>
      <x:c r="AC6" s="11" t="str">
        <x:v>fa-chart-line</x:v>
      </x:c>
      <x:c r="AD6" s="11" t="str">
        <x:v>from-zinc-800 to-zinc-950</x:v>
      </x:c>
      <x:c r="AE6" s="11" t="str">
        <x:v>hw-chengxin</x:v>
      </x:c>
      <x:c r="AF6" s="28" t="str">
        <x:v>​2026-09-01T03:11:41.453Z</x:v>
      </x:c>
    </x:row>
    <x:row r="7" ht="24" customHeight="1">
      <x:c r="A7" s="28" t="n">
        <x:v>3</x:v>
      </x:c>
      <x:c r="B7" s="28" t="str">
        <x:v>agent-data-analysis</x:v>
      </x:c>
      <x:c r="C7" s="11" t="str">
        <x:v>数据分析 Agent</x:v>
      </x:c>
      <x:c r="D7" s="28" t="str">
        <x:v>办公提效</x:v>
      </x:c>
      <x:c r="E7" s="11" t="str">
        <x:v>GTM/渠道</x:v>
      </x:c>
      <x:c r="F7" s="28" t="str">
        <x:v>gtm</x:v>
      </x:c>
      <x:c r="G7" s="28" t="str">
        <x:v>S8</x:v>
      </x:c>
      <x:c r="H7" s="28" t="str">
        <x:v>数据分析</x:v>
      </x:c>
      <x:c r="I7" s="11" t="str">
        <x:v>华为 MSS</x:v>
      </x:c>
      <x:c r="J7" s="11" t="str"/>
      <x:c r="K7" s="11" t="str"/>
      <x:c r="L7" s="11" t="str">
        <x:v>​2026-08-05</x:v>
      </x:c>
      <x:c r="M7" s="11" t="str"/>
      <x:c r="N7" s="11" t="str"/>
      <x:c r="O7" s="28" t="str">
        <x:v>是</x:v>
      </x:c>
      <x:c r="P7" s="28" t="str"/>
      <x:c r="Q7" s="28" t="n">
        <x:v>4280</x:v>
      </x:c>
      <x:c r="R7" s="28" t="str">
        <x:v>是</x:v>
      </x:c>
      <x:c r="S7" s="28" t="n">
        <x:v>7</x:v>
      </x:c>
      <x:c r="T7" s="28" t="n">
        <x:v>0</x:v>
      </x:c>
      <x:c r="U7" s="28" t="n">
        <x:v>0</x:v>
      </x:c>
      <x:c r="V7" s="28" t="n">
        <x:v>0</x:v>
      </x:c>
      <x:c r="W7" s="28" t="n">
        <x:v>0</x:v>
      </x:c>
      <x:c r="X7" s="28" t="n">
        <x:v>0</x:v>
      </x:c>
      <x:c r="Y7" s="11" t="str">
        <x:v>​2026-08-19T00:53:24.061Z</x:v>
      </x:c>
      <x:c r="Z7" s="11" t="str">
        <x:v>skill-data-analysis</x:v>
      </x:c>
      <x:c r="AA7" s="28" t="n">
        <x:v>3</x:v>
      </x:c>
      <x:c r="AB7" s="11" t="str">
        <x:v>marketing</x:v>
      </x:c>
      <x:c r="AC7" s="11" t="str">
        <x:v>fa-chart-pie</x:v>
      </x:c>
      <x:c r="AD7" s="11" t="str">
        <x:v>from-zinc-700 to-zinc-900</x:v>
      </x:c>
      <x:c r="AE7" s="11" t="str"/>
      <x:c r="AF7" s="28" t="str">
        <x:v>​2026-09-01T03:11:41.453Z</x:v>
      </x:c>
    </x:row>
    <x:row r="8" ht="24" customHeight="1">
      <x:c r="A8" s="28" t="n">
        <x:v>4</x:v>
      </x:c>
      <x:c r="B8" s="28" t="str">
        <x:v>agent-doc-review</x:v>
      </x:c>
      <x:c r="C8" s="11" t="str">
        <x:v>文档解读 Agent</x:v>
      </x:c>
      <x:c r="D8" s="28" t="str">
        <x:v>办公提效</x:v>
      </x:c>
      <x:c r="E8" s="11" t="str">
        <x:v>MKT/质量与运营</x:v>
      </x:c>
      <x:c r="F8" s="28" t="str">
        <x:v>mkt</x:v>
      </x:c>
      <x:c r="G8" s="28" t="str">
        <x:v>S4</x:v>
      </x:c>
      <x:c r="H8" s="28" t="str">
        <x:v>合规结算</x:v>
      </x:c>
      <x:c r="I8" s="11" t="str">
        <x:v>华为 MSS</x:v>
      </x:c>
      <x:c r="J8" s="11" t="str"/>
      <x:c r="K8" s="11" t="str"/>
      <x:c r="L8" s="11" t="str">
        <x:v>​2026-07-28</x:v>
      </x:c>
      <x:c r="M8" s="11" t="str"/>
      <x:c r="N8" s="11" t="str"/>
      <x:c r="O8" s="28" t="str">
        <x:v>是</x:v>
      </x:c>
      <x:c r="P8" s="28" t="str"/>
      <x:c r="Q8" s="28" t="n">
        <x:v>3150</x:v>
      </x:c>
      <x:c r="R8" s="28" t="str">
        <x:v>是</x:v>
      </x:c>
      <x:c r="S8" s="28" t="n">
        <x:v>1</x:v>
      </x:c>
      <x:c r="T8" s="28" t="n">
        <x:v>0</x:v>
      </x:c>
      <x:c r="U8" s="28" t="n">
        <x:v>0</x:v>
      </x:c>
      <x:c r="V8" s="28" t="n">
        <x:v>0</x:v>
      </x:c>
      <x:c r="W8" s="28" t="n">
        <x:v>0</x:v>
      </x:c>
      <x:c r="X8" s="28" t="n">
        <x:v>0</x:v>
      </x:c>
      <x:c r="Y8" s="11" t="str">
        <x:v>​2026-08-18T12:06:01.200Z</x:v>
      </x:c>
      <x:c r="Z8" s="11" t="str">
        <x:v>skill-doc-compliance</x:v>
      </x:c>
      <x:c r="AA8" s="28" t="n">
        <x:v>3</x:v>
      </x:c>
      <x:c r="AB8" s="11" t="str">
        <x:v>knowledge</x:v>
      </x:c>
      <x:c r="AC8" s="11" t="str">
        <x:v>fa-file-shield</x:v>
      </x:c>
      <x:c r="AD8" s="11" t="str">
        <x:v>from-stone-500 to-zinc-700</x:v>
      </x:c>
      <x:c r="AE8" s="11" t="str"/>
      <x:c r="AF8" s="28" t="str">
        <x:v>​2026-09-01T03:11:41.453Z</x:v>
      </x:c>
    </x:row>
    <x:row r="9" ht="24" customHeight="1">
      <x:c r="A9" s="28" t="n">
        <x:v>5</x:v>
      </x:c>
      <x:c r="B9" s="28" t="str">
        <x:v>agent-file-organize</x:v>
      </x:c>
      <x:c r="C9" s="11" t="str">
        <x:v>文件整理 Agent</x:v>
      </x:c>
      <x:c r="D9" s="28" t="str">
        <x:v>办公提效</x:v>
      </x:c>
      <x:c r="E9" s="11" t="str">
        <x:v>HR</x:v>
      </x:c>
      <x:c r="F9" s="28" t="str">
        <x:v>hr</x:v>
      </x:c>
      <x:c r="G9" s="28" t="str">
        <x:v>S7</x:v>
      </x:c>
      <x:c r="H9" s="28" t="str">
        <x:v>日常办公</x:v>
      </x:c>
      <x:c r="I9" s="11" t="str">
        <x:v>华为 MSS</x:v>
      </x:c>
      <x:c r="J9" s="11" t="str"/>
      <x:c r="K9" s="11" t="str"/>
      <x:c r="L9" s="11" t="str">
        <x:v>​2026-06-18</x:v>
      </x:c>
      <x:c r="M9" s="11" t="str"/>
      <x:c r="N9" s="11" t="str"/>
      <x:c r="O9" s="28" t="str">
        <x:v>是</x:v>
      </x:c>
      <x:c r="P9" s="28" t="str"/>
      <x:c r="Q9" s="28" t="n">
        <x:v>1890</x:v>
      </x:c>
      <x:c r="R9" s="28" t="str">
        <x:v>否</x:v>
      </x:c>
      <x:c r="S9" s="28" t="n">
        <x:v>0</x:v>
      </x:c>
      <x:c r="T9" s="28" t="n">
        <x:v>0</x:v>
      </x:c>
      <x:c r="U9" s="28" t="n">
        <x:v>0</x:v>
      </x:c>
      <x:c r="V9" s="28" t="n">
        <x:v>0</x:v>
      </x:c>
      <x:c r="W9" s="28" t="n">
        <x:v>0</x:v>
      </x:c>
      <x:c r="X9" s="28" t="n">
        <x:v>0</x:v>
      </x:c>
      <x:c r="Y9" s="11" t="str"/>
      <x:c r="Z9" s="11" t="str">
        <x:v>skill-file-archive</x:v>
      </x:c>
      <x:c r="AA9" s="28" t="n">
        <x:v>3</x:v>
      </x:c>
      <x:c r="AB9" s="11" t="str">
        <x:v>marketing</x:v>
      </x:c>
      <x:c r="AC9" s="11" t="str">
        <x:v>fa-folder-tree</x:v>
      </x:c>
      <x:c r="AD9" s="11" t="str">
        <x:v>from-slate-600 to-slate-800</x:v>
      </x:c>
      <x:c r="AE9" s="11" t="str"/>
      <x:c r="AF9" s="28" t="str">
        <x:v>​2026-09-01T03:11:41.453Z</x:v>
      </x:c>
    </x:row>
    <x:row r="10" ht="24" customHeight="1">
      <x:c r="A10" s="28" t="n">
        <x:v>6</x:v>
      </x:c>
      <x:c r="B10" s="28" t="str">
        <x:v>agent-ppt</x:v>
      </x:c>
      <x:c r="C10" s="11" t="str">
        <x:v>PPT 生成 Agent</x:v>
      </x:c>
      <x:c r="D10" s="28" t="str">
        <x:v>办公提效</x:v>
      </x:c>
      <x:c r="E10" s="11" t="str">
        <x:v>MKT/GTM</x:v>
      </x:c>
      <x:c r="F10" s="28" t="str">
        <x:v>mkt</x:v>
      </x:c>
      <x:c r="G10" s="28" t="str">
        <x:v>S2</x:v>
      </x:c>
      <x:c r="H10" s="28" t="str">
        <x:v>内容生成</x:v>
      </x:c>
      <x:c r="I10" s="11" t="str">
        <x:v>华为 MSS</x:v>
      </x:c>
      <x:c r="J10" s="11" t="str"/>
      <x:c r="K10" s="11" t="str"/>
      <x:c r="L10" s="11" t="str">
        <x:v>​2026-07-09</x:v>
      </x:c>
      <x:c r="M10" s="11" t="str"/>
      <x:c r="N10" s="11" t="str"/>
      <x:c r="O10" s="28" t="str">
        <x:v>是</x:v>
      </x:c>
      <x:c r="P10" s="28" t="str"/>
      <x:c r="Q10" s="28" t="n">
        <x:v>2240</x:v>
      </x:c>
      <x:c r="R10" s="28" t="str">
        <x:v>否</x:v>
      </x:c>
      <x:c r="S10" s="28" t="n">
        <x:v>0</x:v>
      </x:c>
      <x:c r="T10" s="28" t="n">
        <x:v>0</x:v>
      </x:c>
      <x:c r="U10" s="28" t="n">
        <x:v>0</x:v>
      </x:c>
      <x:c r="V10" s="28" t="n">
        <x:v>0</x:v>
      </x:c>
      <x:c r="W10" s="28" t="n">
        <x:v>0</x:v>
      </x:c>
      <x:c r="X10" s="28" t="n">
        <x:v>0</x:v>
      </x:c>
      <x:c r="Y10" s="11" t="str"/>
      <x:c r="Z10" s="11" t="str">
        <x:v>skill-ppt-gen</x:v>
      </x:c>
      <x:c r="AA10" s="28" t="n">
        <x:v>3</x:v>
      </x:c>
      <x:c r="AB10" s="11" t="str">
        <x:v>marketing</x:v>
      </x:c>
      <x:c r="AC10" s="11" t="str">
        <x:v>fa-file-powerpoint</x:v>
      </x:c>
      <x:c r="AD10" s="11" t="str">
        <x:v>from-neutral-500 to-zinc-700</x:v>
      </x:c>
      <x:c r="AE10" s="11" t="str"/>
      <x:c r="AF10" s="28" t="str">
        <x:v>​2026-09-01T03:11:41.453Z</x:v>
      </x:c>
    </x:row>
    <x:row r="11" ht="24" customHeight="1">
      <x:c r="A11" s="28" t="n">
        <x:v>7</x:v>
      </x:c>
      <x:c r="B11" s="28" t="str">
        <x:v>agent-meeting</x:v>
      </x:c>
      <x:c r="C11" s="11" t="str">
        <x:v>会议纪要 Agent</x:v>
      </x:c>
      <x:c r="D11" s="28" t="str">
        <x:v>办公提效</x:v>
      </x:c>
      <x:c r="E11" s="11" t="str">
        <x:v>HR</x:v>
      </x:c>
      <x:c r="F11" s="28" t="str">
        <x:v>hr</x:v>
      </x:c>
      <x:c r="G11" s="28" t="str">
        <x:v>S7</x:v>
      </x:c>
      <x:c r="H11" s="28" t="str">
        <x:v>日常办公</x:v>
      </x:c>
      <x:c r="I11" s="11" t="str">
        <x:v>华为 MSS</x:v>
      </x:c>
      <x:c r="J11" s="11" t="str"/>
      <x:c r="K11" s="11" t="str"/>
      <x:c r="L11" s="11" t="str">
        <x:v>​2026-08-14</x:v>
      </x:c>
      <x:c r="M11" s="11" t="str"/>
      <x:c r="N11" s="11" t="str"/>
      <x:c r="O11" s="28" t="str">
        <x:v>是</x:v>
      </x:c>
      <x:c r="P11" s="28" t="str"/>
      <x:c r="Q11" s="28" t="n">
        <x:v>5340</x:v>
      </x:c>
      <x:c r="R11" s="28" t="str">
        <x:v>是</x:v>
      </x:c>
      <x:c r="S11" s="28" t="n">
        <x:v>2</x:v>
      </x:c>
      <x:c r="T11" s="28" t="n">
        <x:v>0</x:v>
      </x:c>
      <x:c r="U11" s="28" t="n">
        <x:v>0</x:v>
      </x:c>
      <x:c r="V11" s="28" t="n">
        <x:v>0</x:v>
      </x:c>
      <x:c r="W11" s="28" t="n">
        <x:v>0</x:v>
      </x:c>
      <x:c r="X11" s="28" t="n">
        <x:v>0</x:v>
      </x:c>
      <x:c r="Y11" s="11" t="str">
        <x:v>​2026-08-17T12:08:28.651Z</x:v>
      </x:c>
      <x:c r="Z11" s="11" t="str">
        <x:v>skill-meeting-minutes</x:v>
      </x:c>
      <x:c r="AA11" s="28" t="n">
        <x:v>3</x:v>
      </x:c>
      <x:c r="AB11" s="11" t="str">
        <x:v>marketing</x:v>
      </x:c>
      <x:c r="AC11" s="11" t="str">
        <x:v>fa-clipboard-list</x:v>
      </x:c>
      <x:c r="AD11" s="11" t="str">
        <x:v>from-slate-500 to-zinc-700</x:v>
      </x:c>
      <x:c r="AE11" s="11" t="str"/>
      <x:c r="AF11" s="28" t="str">
        <x:v>​2026-09-01T03:11:41.453Z</x:v>
      </x:c>
    </x:row>
    <x:row r="12" ht="24" customHeight="1">
      <x:c r="A12" s="28" t="n">
        <x:v>8</x:v>
      </x:c>
      <x:c r="B12" s="28" t="str">
        <x:v>agent-launch-sentiment</x:v>
      </x:c>
      <x:c r="C12" s="11" t="str">
        <x:v>舆情快报 Agent</x:v>
      </x:c>
      <x:c r="D12" s="28" t="str">
        <x:v>管理提效</x:v>
      </x:c>
      <x:c r="E12" s="11" t="str">
        <x:v>MKT/服务</x:v>
      </x:c>
      <x:c r="F12" s="28" t="str">
        <x:v>mkt</x:v>
      </x:c>
      <x:c r="G12" s="28" t="str">
        <x:v>S1</x:v>
      </x:c>
      <x:c r="H12" s="28" t="str">
        <x:v>市场洞察</x:v>
      </x:c>
      <x:c r="I12" s="11" t="str">
        <x:v>华为 MSS</x:v>
      </x:c>
      <x:c r="J12" s="11" t="str"/>
      <x:c r="K12" s="11" t="str"/>
      <x:c r="L12" s="11" t="str">
        <x:v>​2026-06-30</x:v>
      </x:c>
      <x:c r="M12" s="11" t="str"/>
      <x:c r="N12" s="11" t="str"/>
      <x:c r="O12" s="28" t="str">
        <x:v>是</x:v>
      </x:c>
      <x:c r="P12" s="28" t="str"/>
      <x:c r="Q12" s="28" t="n">
        <x:v>1420</x:v>
      </x:c>
      <x:c r="R12" s="28" t="str">
        <x:v>否</x:v>
      </x:c>
      <x:c r="S12" s="28" t="n">
        <x:v>0</x:v>
      </x:c>
      <x:c r="T12" s="28" t="n">
        <x:v>0</x:v>
      </x:c>
      <x:c r="U12" s="28" t="n">
        <x:v>0</x:v>
      </x:c>
      <x:c r="V12" s="28" t="n">
        <x:v>0</x:v>
      </x:c>
      <x:c r="W12" s="28" t="n">
        <x:v>0</x:v>
      </x:c>
      <x:c r="X12" s="28" t="n">
        <x:v>0</x:v>
      </x:c>
      <x:c r="Y12" s="11" t="str"/>
      <x:c r="Z12" s="11" t="str">
        <x:v>skill-launch-sentiment</x:v>
      </x:c>
      <x:c r="AA12" s="28" t="n">
        <x:v>3</x:v>
      </x:c>
      <x:c r="AB12" s="11" t="str">
        <x:v>marketing</x:v>
      </x:c>
      <x:c r="AC12" s="11" t="str">
        <x:v>fa-bullhorn</x:v>
      </x:c>
      <x:c r="AD12" s="11" t="str">
        <x:v>from-zinc-600 to-zinc-800</x:v>
      </x:c>
      <x:c r="AE12" s="11" t="str"/>
      <x:c r="AF12" s="28" t="str">
        <x:v>​2026-09-01T03:11:41.453Z</x:v>
      </x:c>
    </x:row>
    <x:row r="13" ht="24" customHeight="1">
      <x:c r="A13" s="28" t="n">
        <x:v>9</x:v>
      </x:c>
      <x:c r="B13" s="28" t="str">
        <x:v>agent-survey</x:v>
      </x:c>
      <x:c r="C13" s="11" t="str">
        <x:v>问卷洞察 Agent</x:v>
      </x:c>
      <x:c r="D13" s="28" t="str">
        <x:v>管理提效</x:v>
      </x:c>
      <x:c r="E13" s="11" t="str">
        <x:v>MKT</x:v>
      </x:c>
      <x:c r="F13" s="28" t="str">
        <x:v>mkt</x:v>
      </x:c>
      <x:c r="G13" s="28" t="str">
        <x:v>S1</x:v>
      </x:c>
      <x:c r="H13" s="28" t="str">
        <x:v>市场洞察</x:v>
      </x:c>
      <x:c r="I13" s="11" t="str">
        <x:v>华为 MSS</x:v>
      </x:c>
      <x:c r="J13" s="11" t="str"/>
      <x:c r="K13" s="11" t="str"/>
      <x:c r="L13" s="11" t="str">
        <x:v>​2026-05-22</x:v>
      </x:c>
      <x:c r="M13" s="11" t="str"/>
      <x:c r="N13" s="11" t="str"/>
      <x:c r="O13" s="28" t="str">
        <x:v>是</x:v>
      </x:c>
      <x:c r="P13" s="28" t="str"/>
      <x:c r="Q13" s="28" t="n">
        <x:v>980</x:v>
      </x:c>
      <x:c r="R13" s="28" t="str">
        <x:v>否</x:v>
      </x:c>
      <x:c r="S13" s="28" t="n">
        <x:v>0</x:v>
      </x:c>
      <x:c r="T13" s="28" t="n">
        <x:v>0</x:v>
      </x:c>
      <x:c r="U13" s="28" t="n">
        <x:v>0</x:v>
      </x:c>
      <x:c r="V13" s="28" t="n">
        <x:v>0</x:v>
      </x:c>
      <x:c r="W13" s="28" t="n">
        <x:v>0</x:v>
      </x:c>
      <x:c r="X13" s="28" t="n">
        <x:v>0</x:v>
      </x:c>
      <x:c r="Y13" s="11" t="str"/>
      <x:c r="Z13" s="11" t="str">
        <x:v>skill-survey-insight</x:v>
      </x:c>
      <x:c r="AA13" s="28" t="n">
        <x:v>3</x:v>
      </x:c>
      <x:c r="AB13" s="11" t="str">
        <x:v>marketing</x:v>
      </x:c>
      <x:c r="AC13" s="11" t="str">
        <x:v>fa-square-poll-vertical</x:v>
      </x:c>
      <x:c r="AD13" s="11" t="str">
        <x:v>from-stone-500 to-zinc-600</x:v>
      </x:c>
      <x:c r="AE13" s="11" t="str"/>
      <x:c r="AF13" s="28" t="str">
        <x:v>​2026-09-01T03:11:41.453Z</x:v>
      </x:c>
    </x:row>
    <x:row r="14" ht="24" customHeight="1">
      <x:c r="A14" s="28" t="n">
        <x:v>10</x:v>
      </x:c>
      <x:c r="B14" s="28" t="str">
        <x:v>agent-review-collect</x:v>
      </x:c>
      <x:c r="C14" s="11" t="str">
        <x:v>评分采集 Agent</x:v>
      </x:c>
      <x:c r="D14" s="28" t="str">
        <x:v>管理提效</x:v>
      </x:c>
      <x:c r="E14" s="11" t="str">
        <x:v>电商/服务</x:v>
      </x:c>
      <x:c r="F14" s="28" t="str">
        <x:v>ecommerce</x:v>
      </x:c>
      <x:c r="G14" s="28" t="str">
        <x:v>S1</x:v>
      </x:c>
      <x:c r="H14" s="28" t="str">
        <x:v>市场洞察</x:v>
      </x:c>
      <x:c r="I14" s="11" t="str">
        <x:v>华为 MSS</x:v>
      </x:c>
      <x:c r="J14" s="11" t="str"/>
      <x:c r="K14" s="11" t="str"/>
      <x:c r="L14" s="11" t="str">
        <x:v>​2026-07-16</x:v>
      </x:c>
      <x:c r="M14" s="11" t="str"/>
      <x:c r="N14" s="11" t="str"/>
      <x:c r="O14" s="28" t="str">
        <x:v>是</x:v>
      </x:c>
      <x:c r="P14" s="28" t="str"/>
      <x:c r="Q14" s="28" t="n">
        <x:v>2100</x:v>
      </x:c>
      <x:c r="R14" s="28" t="str">
        <x:v>否</x:v>
      </x:c>
      <x:c r="S14" s="28" t="n">
        <x:v>0</x:v>
      </x:c>
      <x:c r="T14" s="28" t="n">
        <x:v>0</x:v>
      </x:c>
      <x:c r="U14" s="28" t="n">
        <x:v>0</x:v>
      </x:c>
      <x:c r="V14" s="28" t="n">
        <x:v>0</x:v>
      </x:c>
      <x:c r="W14" s="28" t="n">
        <x:v>0</x:v>
      </x:c>
      <x:c r="X14" s="28" t="n">
        <x:v>0</x:v>
      </x:c>
      <x:c r="Y14" s="11" t="str"/>
      <x:c r="Z14" s="11" t="str">
        <x:v>skill-review-collect</x:v>
      </x:c>
      <x:c r="AA14" s="28" t="n">
        <x:v>3</x:v>
      </x:c>
      <x:c r="AB14" s="11" t="str">
        <x:v>knowledge</x:v>
      </x:c>
      <x:c r="AC14" s="11" t="str">
        <x:v>fa-download</x:v>
      </x:c>
      <x:c r="AD14" s="11" t="str">
        <x:v>from-emerald-700 to-slate-800</x:v>
      </x:c>
      <x:c r="AE14" s="11" t="str"/>
      <x:c r="AF14" s="28" t="str">
        <x:v>​2026-09-01T03:11:41.453Z</x:v>
      </x:c>
    </x:row>
    <x:row r="15" ht="24" customHeight="1">
      <x:c r="A15" s="28" t="n">
        <x:v>11</x:v>
      </x:c>
      <x:c r="B15" s="28" t="str">
        <x:v>agent-review-translate</x:v>
      </x:c>
      <x:c r="C15" s="11" t="str">
        <x:v>语种翻译 Agent</x:v>
      </x:c>
      <x:c r="D15" s="28" t="str">
        <x:v>管理提效</x:v>
      </x:c>
      <x:c r="E15" s="11" t="str">
        <x:v>电商/服务</x:v>
      </x:c>
      <x:c r="F15" s="28" t="str">
        <x:v>ecommerce</x:v>
      </x:c>
      <x:c r="G15" s="28" t="str">
        <x:v>S2</x:v>
      </x:c>
      <x:c r="H15" s="28" t="str">
        <x:v>内容生成</x:v>
      </x:c>
      <x:c r="I15" s="11" t="str">
        <x:v>华为 MSS</x:v>
      </x:c>
      <x:c r="J15" s="11" t="str"/>
      <x:c r="K15" s="11" t="str"/>
      <x:c r="L15" s="11" t="str">
        <x:v>​2026-07-02</x:v>
      </x:c>
      <x:c r="M15" s="11" t="str"/>
      <x:c r="N15" s="11" t="str"/>
      <x:c r="O15" s="28" t="str">
        <x:v>是</x:v>
      </x:c>
      <x:c r="P15" s="28" t="str"/>
      <x:c r="Q15" s="28" t="n">
        <x:v>1960</x:v>
      </x:c>
      <x:c r="R15" s="28" t="str">
        <x:v>否</x:v>
      </x:c>
      <x:c r="S15" s="28" t="n">
        <x:v>0</x:v>
      </x:c>
      <x:c r="T15" s="28" t="n">
        <x:v>0</x:v>
      </x:c>
      <x:c r="U15" s="28" t="n">
        <x:v>0</x:v>
      </x:c>
      <x:c r="V15" s="28" t="n">
        <x:v>0</x:v>
      </x:c>
      <x:c r="W15" s="28" t="n">
        <x:v>0</x:v>
      </x:c>
      <x:c r="X15" s="28" t="n">
        <x:v>0</x:v>
      </x:c>
      <x:c r="Y15" s="11" t="str"/>
      <x:c r="Z15" s="11" t="str">
        <x:v>skill-review-translate</x:v>
      </x:c>
      <x:c r="AA15" s="28" t="n">
        <x:v>3</x:v>
      </x:c>
      <x:c r="AB15" s="11" t="str">
        <x:v>knowledge</x:v>
      </x:c>
      <x:c r="AC15" s="11" t="str">
        <x:v>fa-language</x:v>
      </x:c>
      <x:c r="AD15" s="11" t="str">
        <x:v>from-sky-600 to-slate-700</x:v>
      </x:c>
      <x:c r="AE15" s="11" t="str"/>
      <x:c r="AF15" s="28" t="str">
        <x:v>​2026-09-01T03:11:41.453Z</x:v>
      </x:c>
    </x:row>
    <x:row r="16" ht="24" customHeight="1">
      <x:c r="A16" s="28" t="n">
        <x:v>12</x:v>
      </x:c>
      <x:c r="B16" s="28" t="str">
        <x:v>agent-review</x:v>
      </x:c>
      <x:c r="C16" s="11" t="str">
        <x:v>评论分析 Agent</x:v>
      </x:c>
      <x:c r="D16" s="28" t="str">
        <x:v>管理提效</x:v>
      </x:c>
      <x:c r="E16" s="11" t="str">
        <x:v>电商/服务</x:v>
      </x:c>
      <x:c r="F16" s="28" t="str">
        <x:v>ecommerce</x:v>
      </x:c>
      <x:c r="G16" s="28" t="str">
        <x:v>S1</x:v>
      </x:c>
      <x:c r="H16" s="28" t="str">
        <x:v>市场洞察</x:v>
      </x:c>
      <x:c r="I16" s="11" t="str">
        <x:v>华为 MSS</x:v>
      </x:c>
      <x:c r="J16" s="11" t="str"/>
      <x:c r="K16" s="11" t="str"/>
      <x:c r="L16" s="11" t="str">
        <x:v>​2026-07-21</x:v>
      </x:c>
      <x:c r="M16" s="11" t="str"/>
      <x:c r="N16" s="11" t="str"/>
      <x:c r="O16" s="28" t="str">
        <x:v>是</x:v>
      </x:c>
      <x:c r="P16" s="28" t="str"/>
      <x:c r="Q16" s="28" t="n">
        <x:v>2780</x:v>
      </x:c>
      <x:c r="R16" s="28" t="str">
        <x:v>否</x:v>
      </x:c>
      <x:c r="S16" s="28" t="n">
        <x:v>0</x:v>
      </x:c>
      <x:c r="T16" s="28" t="n">
        <x:v>0</x:v>
      </x:c>
      <x:c r="U16" s="28" t="n">
        <x:v>0</x:v>
      </x:c>
      <x:c r="V16" s="28" t="n">
        <x:v>0</x:v>
      </x:c>
      <x:c r="W16" s="28" t="n">
        <x:v>0</x:v>
      </x:c>
      <x:c r="X16" s="28" t="n">
        <x:v>0</x:v>
      </x:c>
      <x:c r="Y16" s="11" t="str"/>
      <x:c r="Z16" s="11" t="str">
        <x:v>skill-review-cluster</x:v>
      </x:c>
      <x:c r="AA16" s="28" t="n">
        <x:v>3</x:v>
      </x:c>
      <x:c r="AB16" s="11" t="str">
        <x:v>knowledge</x:v>
      </x:c>
      <x:c r="AC16" s="11" t="str">
        <x:v>fa-comments</x:v>
      </x:c>
      <x:c r="AD16" s="11" t="str">
        <x:v>from-slate-500 to-slate-700</x:v>
      </x:c>
      <x:c r="AE16" s="11" t="str"/>
      <x:c r="AF16" s="28" t="str">
        <x:v>​2026-09-01T03:11:41.453Z</x:v>
      </x:c>
    </x:row>
    <x:row r="17" ht="24" customHeight="1">
      <x:c r="A17" s="28" t="n">
        <x:v>13</x:v>
      </x:c>
      <x:c r="B17" s="28" t="str">
        <x:v>agent-retail-insight</x:v>
      </x:c>
      <x:c r="C17" s="11" t="str">
        <x:v>零售洞察 Agent</x:v>
      </x:c>
      <x:c r="D17" s="28" t="str">
        <x:v>管理提效</x:v>
      </x:c>
      <x:c r="E17" s="11" t="str">
        <x:v>零售/电商</x:v>
      </x:c>
      <x:c r="F17" s="28" t="str">
        <x:v>retail</x:v>
      </x:c>
      <x:c r="G17" s="28" t="str">
        <x:v>S1</x:v>
      </x:c>
      <x:c r="H17" s="28" t="str">
        <x:v>市场洞察</x:v>
      </x:c>
      <x:c r="I17" s="11" t="str">
        <x:v>华为 MSS</x:v>
      </x:c>
      <x:c r="J17" s="11" t="str"/>
      <x:c r="K17" s="11" t="str"/>
      <x:c r="L17" s="11" t="str">
        <x:v>​2026-08-08</x:v>
      </x:c>
      <x:c r="M17" s="11" t="str"/>
      <x:c r="N17" s="11" t="str"/>
      <x:c r="O17" s="28" t="str">
        <x:v>是</x:v>
      </x:c>
      <x:c r="P17" s="28" t="str"/>
      <x:c r="Q17" s="28" t="n">
        <x:v>3680</x:v>
      </x:c>
      <x:c r="R17" s="28" t="str">
        <x:v>否</x:v>
      </x:c>
      <x:c r="S17" s="28" t="n">
        <x:v>0</x:v>
      </x:c>
      <x:c r="T17" s="28" t="n">
        <x:v>0</x:v>
      </x:c>
      <x:c r="U17" s="28" t="n">
        <x:v>0</x:v>
      </x:c>
      <x:c r="V17" s="28" t="n">
        <x:v>0</x:v>
      </x:c>
      <x:c r="W17" s="28" t="n">
        <x:v>0</x:v>
      </x:c>
      <x:c r="X17" s="28" t="n">
        <x:v>0</x:v>
      </x:c>
      <x:c r="Y17" s="11" t="str"/>
      <x:c r="Z17" s="11" t="str">
        <x:v>skill-retail-insight</x:v>
      </x:c>
      <x:c r="AA17" s="28" t="n">
        <x:v>3</x:v>
      </x:c>
      <x:c r="AB17" s="11" t="str">
        <x:v>marketing</x:v>
      </x:c>
      <x:c r="AC17" s="11" t="str">
        <x:v>fa-store</x:v>
      </x:c>
      <x:c r="AD17" s="11" t="str">
        <x:v>from-neutral-600 to-zinc-800</x:v>
      </x:c>
      <x:c r="AE17" s="11" t="str"/>
      <x:c r="AF17" s="28" t="str">
        <x:v>​2026-09-01T03:11:41.453Z</x:v>
      </x:c>
    </x:row>
    <x:row r="18" ht="24" customHeight="1">
      <x:c r="A18" s="28" t="n">
        <x:v>14</x:v>
      </x:c>
      <x:c r="B18" s="28" t="str">
        <x:v>agent-price-monitor</x:v>
      </x:c>
      <x:c r="C18" s="11" t="str">
        <x:v>价格监测 Agent</x:v>
      </x:c>
      <x:c r="D18" s="28" t="str">
        <x:v>管理提效</x:v>
      </x:c>
      <x:c r="E18" s="11" t="str">
        <x:v>渠道/电商/GTM</x:v>
      </x:c>
      <x:c r="F18" s="28" t="str">
        <x:v>gtm</x:v>
      </x:c>
      <x:c r="G18" s="28" t="str">
        <x:v>S1</x:v>
      </x:c>
      <x:c r="H18" s="28" t="str">
        <x:v>市场洞察</x:v>
      </x:c>
      <x:c r="I18" s="11" t="str">
        <x:v>华为 MSS</x:v>
      </x:c>
      <x:c r="J18" s="11" t="str"/>
      <x:c r="K18" s="11" t="str"/>
      <x:c r="L18" s="11" t="str">
        <x:v>​2026-08-11</x:v>
      </x:c>
      <x:c r="M18" s="11" t="str"/>
      <x:c r="N18" s="11" t="str"/>
      <x:c r="O18" s="28" t="str">
        <x:v>是</x:v>
      </x:c>
      <x:c r="P18" s="28" t="str"/>
      <x:c r="Q18" s="28" t="n">
        <x:v>4120</x:v>
      </x:c>
      <x:c r="R18" s="28" t="str">
        <x:v>是</x:v>
      </x:c>
      <x:c r="S18" s="28" t="n">
        <x:v>1</x:v>
      </x:c>
      <x:c r="T18" s="28" t="n">
        <x:v>0</x:v>
      </x:c>
      <x:c r="U18" s="28" t="n">
        <x:v>0</x:v>
      </x:c>
      <x:c r="V18" s="28" t="n">
        <x:v>0</x:v>
      </x:c>
      <x:c r="W18" s="28" t="n">
        <x:v>0</x:v>
      </x:c>
      <x:c r="X18" s="28" t="n">
        <x:v>0</x:v>
      </x:c>
      <x:c r="Y18" s="11" t="str">
        <x:v>​2026-08-20T11:33:20.252Z</x:v>
      </x:c>
      <x:c r="Z18" s="11" t="str">
        <x:v>skill-price-monitor</x:v>
      </x:c>
      <x:c r="AA18" s="28" t="n">
        <x:v>3</x:v>
      </x:c>
      <x:c r="AB18" s="11" t="str">
        <x:v>marketing</x:v>
      </x:c>
      <x:c r="AC18" s="11" t="str">
        <x:v>fa-tags</x:v>
      </x:c>
      <x:c r="AD18" s="11" t="str">
        <x:v>from-emerald-800 to-emerald-900</x:v>
      </x:c>
      <x:c r="AE18" s="11" t="str"/>
      <x:c r="AF18" s="28" t="str">
        <x:v>​2026-09-01T03:11:41.453Z</x:v>
      </x:c>
    </x:row>
    <x:row r="19" ht="24" customHeight="1">
      <x:c r="A19" s="28" t="n">
        <x:v>15</x:v>
      </x:c>
      <x:c r="B19" s="28" t="str">
        <x:v>agent-hr-resume</x:v>
      </x:c>
      <x:c r="C19" s="11" t="str">
        <x:v>简历筛选 Agent</x:v>
      </x:c>
      <x:c r="D19" s="28" t="str">
        <x:v>流程提效</x:v>
      </x:c>
      <x:c r="E19" s="11" t="str">
        <x:v>HR</x:v>
      </x:c>
      <x:c r="F19" s="28" t="str">
        <x:v>hr</x:v>
      </x:c>
      <x:c r="G19" s="28" t="str">
        <x:v>S7</x:v>
      </x:c>
      <x:c r="H19" s="28" t="str">
        <x:v>日常办公</x:v>
      </x:c>
      <x:c r="I19" s="11" t="str">
        <x:v>华为 MSS</x:v>
      </x:c>
      <x:c r="J19" s="11" t="str"/>
      <x:c r="K19" s="11" t="str"/>
      <x:c r="L19" s="11" t="str">
        <x:v>​2026-06-06</x:v>
      </x:c>
      <x:c r="M19" s="11" t="str"/>
      <x:c r="N19" s="11" t="str"/>
      <x:c r="O19" s="28" t="str">
        <x:v>是</x:v>
      </x:c>
      <x:c r="P19" s="28" t="str"/>
      <x:c r="Q19" s="28" t="n">
        <x:v>1560</x:v>
      </x:c>
      <x:c r="R19" s="28" t="str">
        <x:v>否</x:v>
      </x:c>
      <x:c r="S19" s="28" t="n">
        <x:v>0</x:v>
      </x:c>
      <x:c r="T19" s="28" t="n">
        <x:v>0</x:v>
      </x:c>
      <x:c r="U19" s="28" t="n">
        <x:v>0</x:v>
      </x:c>
      <x:c r="V19" s="28" t="n">
        <x:v>0</x:v>
      </x:c>
      <x:c r="W19" s="28" t="n">
        <x:v>0</x:v>
      </x:c>
      <x:c r="X19" s="28" t="n">
        <x:v>0</x:v>
      </x:c>
      <x:c r="Y19" s="11" t="str"/>
      <x:c r="Z19" s="11" t="str">
        <x:v>skill-resume-screen</x:v>
      </x:c>
      <x:c r="AA19" s="28" t="n">
        <x:v>3</x:v>
      </x:c>
      <x:c r="AB19" s="11" t="str">
        <x:v>knowledge</x:v>
      </x:c>
      <x:c r="AC19" s="11" t="str">
        <x:v>fa-user-check</x:v>
      </x:c>
      <x:c r="AD19" s="11" t="str">
        <x:v>from-stone-600 to-zinc-800</x:v>
      </x:c>
      <x:c r="AE19" s="11" t="str"/>
      <x:c r="AF19" s="28" t="str">
        <x:v>​2026-09-01T03:11:41.453Z</x:v>
      </x:c>
    </x:row>
    <x:row r="20" ht="24" customHeight="1">
      <x:c r="A20" s="28" t="n">
        <x:v>16</x:v>
      </x:c>
      <x:c r="B20" s="28" t="str">
        <x:v>agent-training</x:v>
      </x:c>
      <x:c r="C20" s="11" t="str">
        <x:v>培训内容 Agent</x:v>
      </x:c>
      <x:c r="D20" s="28" t="str">
        <x:v>流程提效</x:v>
      </x:c>
      <x:c r="E20" s="11" t="str">
        <x:v>零售/门店</x:v>
      </x:c>
      <x:c r="F20" s="28" t="str">
        <x:v>retail</x:v>
      </x:c>
      <x:c r="G20" s="28" t="str">
        <x:v>S3</x:v>
      </x:c>
      <x:c r="H20" s="28" t="str">
        <x:v>销售赋能</x:v>
      </x:c>
      <x:c r="I20" s="11" t="str">
        <x:v>华为 MSS</x:v>
      </x:c>
      <x:c r="J20" s="11" t="str"/>
      <x:c r="K20" s="11" t="str"/>
      <x:c r="L20" s="11" t="str">
        <x:v>​2026-06-24</x:v>
      </x:c>
      <x:c r="M20" s="11" t="str"/>
      <x:c r="N20" s="11" t="str"/>
      <x:c r="O20" s="28" t="str">
        <x:v>是</x:v>
      </x:c>
      <x:c r="P20" s="28" t="str"/>
      <x:c r="Q20" s="28" t="n">
        <x:v>1890</x:v>
      </x:c>
      <x:c r="R20" s="28" t="str">
        <x:v>否</x:v>
      </x:c>
      <x:c r="S20" s="28" t="n">
        <x:v>0</x:v>
      </x:c>
      <x:c r="T20" s="28" t="n">
        <x:v>0</x:v>
      </x:c>
      <x:c r="U20" s="28" t="n">
        <x:v>0</x:v>
      </x:c>
      <x:c r="V20" s="28" t="n">
        <x:v>0</x:v>
      </x:c>
      <x:c r="W20" s="28" t="n">
        <x:v>0</x:v>
      </x:c>
      <x:c r="X20" s="28" t="n">
        <x:v>0</x:v>
      </x:c>
      <x:c r="Y20" s="11" t="str"/>
      <x:c r="Z20" s="11" t="str">
        <x:v>skill-training-gen</x:v>
      </x:c>
      <x:c r="AA20" s="28" t="n">
        <x:v>3</x:v>
      </x:c>
      <x:c r="AB20" s="11" t="str">
        <x:v>knowledge</x:v>
      </x:c>
      <x:c r="AC20" s="11" t="str">
        <x:v>fa-graduation-cap</x:v>
      </x:c>
      <x:c r="AD20" s="11" t="str">
        <x:v>from-slate-600 to-zinc-700</x:v>
      </x:c>
      <x:c r="AE20" s="11" t="str"/>
      <x:c r="AF20" s="28" t="str">
        <x:v>​2026-09-01T03:11:41.453Z</x:v>
      </x:c>
    </x:row>
    <x:row r="21" ht="24" customHeight="1">
      <x:c r="A21" s="28" t="n">
        <x:v>17</x:v>
      </x:c>
      <x:c r="B21" s="28" t="str">
        <x:v>agent-knowledge</x:v>
      </x:c>
      <x:c r="C21" s="11" t="str">
        <x:v>知识 Agent</x:v>
      </x:c>
      <x:c r="D21" s="28" t="str">
        <x:v>体验提升</x:v>
      </x:c>
      <x:c r="E21" s="11" t="str">
        <x:v>服务/质量与运营/零售</x:v>
      </x:c>
      <x:c r="F21" s="28" t="str">
        <x:v>service</x:v>
      </x:c>
      <x:c r="G21" s="28" t="str">
        <x:v>S6</x:v>
      </x:c>
      <x:c r="H21" s="28" t="str">
        <x:v>知识问答</x:v>
      </x:c>
      <x:c r="I21" s="11" t="str">
        <x:v>华为 MSS</x:v>
      </x:c>
      <x:c r="J21" s="11" t="str"/>
      <x:c r="K21" s="11" t="str"/>
      <x:c r="L21" s="11" t="str">
        <x:v>​2026-08-01</x:v>
      </x:c>
      <x:c r="M21" s="11" t="str"/>
      <x:c r="N21" s="11" t="str"/>
      <x:c r="O21" s="28" t="str">
        <x:v>是</x:v>
      </x:c>
      <x:c r="P21" s="28" t="str"/>
      <x:c r="Q21" s="28" t="n">
        <x:v>3520</x:v>
      </x:c>
      <x:c r="R21" s="28" t="str">
        <x:v>否</x:v>
      </x:c>
      <x:c r="S21" s="28" t="n">
        <x:v>0</x:v>
      </x:c>
      <x:c r="T21" s="28" t="n">
        <x:v>0</x:v>
      </x:c>
      <x:c r="U21" s="28" t="n">
        <x:v>0</x:v>
      </x:c>
      <x:c r="V21" s="28" t="n">
        <x:v>0</x:v>
      </x:c>
      <x:c r="W21" s="28" t="n">
        <x:v>0</x:v>
      </x:c>
      <x:c r="X21" s="28" t="n">
        <x:v>0</x:v>
      </x:c>
      <x:c r="Y21" s="11" t="str"/>
      <x:c r="Z21" s="11" t="str">
        <x:v>skill-rag</x:v>
      </x:c>
      <x:c r="AA21" s="28" t="n">
        <x:v>5</x:v>
      </x:c>
      <x:c r="AB21" s="11" t="str">
        <x:v>knowledge</x:v>
      </x:c>
      <x:c r="AC21" s="11" t="str">
        <x:v>fa-book-open</x:v>
      </x:c>
      <x:c r="AD21" s="11" t="str">
        <x:v>from-zinc-600 to-zinc-800</x:v>
      </x:c>
      <x:c r="AE21" s="11" t="str"/>
      <x:c r="AF21" s="28" t="str">
        <x:v>​2026-09-01T03:11:41.453Z</x:v>
      </x:c>
    </x:row>
    <x:row r="22" ht="24" customHeight="1">
      <x:c r="A22" s="28" t="n">
        <x:v>18</x:v>
      </x:c>
      <x:c r="B22" s="28" t="str">
        <x:v>agent-retail-coach</x:v>
      </x:c>
      <x:c r="C22" s="11" t="str">
        <x:v>零售陪练 Agent</x:v>
      </x:c>
      <x:c r="D22" s="28" t="str">
        <x:v>体验提升</x:v>
      </x:c>
      <x:c r="E22" s="11" t="str">
        <x:v>零售/门店</x:v>
      </x:c>
      <x:c r="F22" s="28" t="str">
        <x:v>retail</x:v>
      </x:c>
      <x:c r="G22" s="28" t="str">
        <x:v>S3</x:v>
      </x:c>
      <x:c r="H22" s="28" t="str">
        <x:v>销售赋能</x:v>
      </x:c>
      <x:c r="I22" s="11" t="str">
        <x:v>华为 MSS</x:v>
      </x:c>
      <x:c r="J22" s="11" t="str"/>
      <x:c r="K22" s="11" t="str"/>
      <x:c r="L22" s="11" t="str">
        <x:v>​2026-05-15</x:v>
      </x:c>
      <x:c r="M22" s="11" t="str"/>
      <x:c r="N22" s="11" t="str"/>
      <x:c r="O22" s="28" t="str">
        <x:v>是</x:v>
      </x:c>
      <x:c r="P22" s="28" t="str"/>
      <x:c r="Q22" s="28" t="n">
        <x:v>860</x:v>
      </x:c>
      <x:c r="R22" s="28" t="str">
        <x:v>否</x:v>
      </x:c>
      <x:c r="S22" s="28" t="n">
        <x:v>0</x:v>
      </x:c>
      <x:c r="T22" s="28" t="n">
        <x:v>0</x:v>
      </x:c>
      <x:c r="U22" s="28" t="n">
        <x:v>0</x:v>
      </x:c>
      <x:c r="V22" s="28" t="n">
        <x:v>0</x:v>
      </x:c>
      <x:c r="W22" s="28" t="n">
        <x:v>0</x:v>
      </x:c>
      <x:c r="X22" s="28" t="n">
        <x:v>0</x:v>
      </x:c>
      <x:c r="Y22" s="11" t="str"/>
      <x:c r="Z22" s="11" t="str">
        <x:v>skill-retail-coach</x:v>
      </x:c>
      <x:c r="AA22" s="28" t="n">
        <x:v>3</x:v>
      </x:c>
      <x:c r="AB22" s="11" t="str">
        <x:v>knowledge</x:v>
      </x:c>
      <x:c r="AC22" s="11" t="str">
        <x:v>fa-headset</x:v>
      </x:c>
      <x:c r="AD22" s="11" t="str">
        <x:v>from-zinc-700 to-zinc-900</x:v>
      </x:c>
      <x:c r="AE22" s="11" t="str"/>
      <x:c r="AF22" s="28" t="str">
        <x:v>​2026-09-01T03:11:41.453Z</x:v>
      </x:c>
    </x:row>
  </x:sheetData>
  <x:mergeCells>
    <x:mergeCell ref="A1:AF1"/>
    <x:mergeCell ref="A2:AF2"/>
  </x:mergeCells>
  <x:pageMargins left="0.7" right="0.7" top="0.75" bottom="0.75" header="0.3" footer="0.3"/>
  <x:tableParts count="1">
    <x:tablePart xmlns:r="http://schemas.openxmlformats.org/officeDocument/2006/relationships" r:id="Re52d9788c4b740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56" hidden="0" customWidth="1"/>
    <x:col min="4" max="4" width="72" hidden="0" customWidth="1"/>
    <x:col min="5" max="5" width="72" hidden="0" customWidth="1"/>
    <x:col min="6" max="6" width="48" hidden="0" customWidth="1"/>
    <x:col min="7" max="7" width="48" hidden="0" customWidth="1"/>
    <x:col min="8" max="8" width="48" hidden="0" customWidth="1"/>
    <x:col min="9" max="9" width="24" hidden="0" customWidth="1"/>
    <x:col min="10" max="10" width="18" hidden="0" customWidth="1"/>
    <x:col min="11" max="11" width="18" hidden="0" customWidth="1"/>
    <x:col min="12" max="12" width="22" hidden="0" customWidth="1"/>
    <x:col min="13" max="13" width="22" hidden="0" customWidth="1"/>
    <x:col min="14" max="14" width="28" hidden="0" customWidth="1"/>
    <x:col min="15" max="15" width="14" hidden="0" customWidth="1"/>
    <x:col min="16" max="16" width="42" hidden="0" customWidth="1"/>
    <x:col min="17" max="17" width="34" hidden="0" customWidth="1"/>
    <x:col min="18" max="18" width="72" hidden="0" customWidth="1"/>
  </x:cols>
  <x:sheetData>
    <x:row r="1" ht="28" customHeight="1">
      <x:c r="A1" s="21" t="str">
        <x:v>Agent 编排配置与提示词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</x:row>
    <x:row r="2" ht="32" customHeight="1">
      <x:c r="A2" s="22" t="str">
        <x:v>长文本按源数据保留；原始 JSON 位于最后一列，包仅保留元数据。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</x:row>
    <x:row r="4" ht="32" customHeight="1">
      <x:c r="A4" s="26" t="str">
        <x:v>Agent ID</x:v>
      </x:c>
      <x:c r="B4" s="26" t="str">
        <x:v>名称</x:v>
      </x:c>
      <x:c r="C4" s="26" t="str">
        <x:v>简介</x:v>
      </x:c>
      <x:c r="D4" s="26" t="str">
        <x:v>System Prompt / Persona</x:v>
      </x:c>
      <x:c r="E4" s="26" t="str">
        <x:v>演示任务</x:v>
      </x:c>
      <x:c r="F4" s="26" t="str">
        <x:v>计划步骤</x:v>
      </x:c>
      <x:c r="G4" s="26" t="str">
        <x:v>挂载Skill ID</x:v>
      </x:c>
      <x:c r="H4" s="26" t="str">
        <x:v>挂载Skill名称</x:v>
      </x:c>
      <x:c r="I4" s="26" t="str">
        <x:v>主Skill ID</x:v>
      </x:c>
      <x:c r="J4" s="26" t="str">
        <x:v>归属部门ID</x:v>
      </x:c>
      <x:c r="K4" s="26" t="str">
        <x:v>归属部门</x:v>
      </x:c>
      <x:c r="L4" s="26" t="str">
        <x:v>归属区域ID</x:v>
      </x:c>
      <x:c r="M4" s="26" t="str">
        <x:v>归属区域</x:v>
      </x:c>
      <x:c r="N4" s="26" t="str">
        <x:v>场景标签</x:v>
      </x:c>
      <x:c r="O4" s="26" t="str">
        <x:v>可见范围</x:v>
      </x:c>
      <x:c r="P4" s="26" t="str">
        <x:v>头像URL</x:v>
      </x:c>
      <x:c r="Q4" s="26" t="str">
        <x:v>包元数据(JSON)</x:v>
      </x:c>
      <x:c r="R4" s="26" t="str">
        <x:v>原始 JSON</x:v>
      </x:c>
    </x:row>
    <x:row r="5" ht="82" customHeight="1">
      <x:c r="A5" s="28" t="str">
        <x:v>agent-import-probe</x:v>
      </x:c>
      <x:c r="B5" s="28" t="str">
        <x:v>导入验证 Agent</x:v>
      </x:c>
      <x:c r="C5" s="11" t="str">
        <x:v>用于验证导入时原包是否留档</x:v>
      </x:c>
      <x:c r="D5" s="11" t="str">
        <x:v>你是一个用于验证的 Agent。</x:v>
      </x:c>
      <x:c r="E5" s="11" t="str"/>
      <x:c r="F5" s="11" t="str"/>
      <x:c r="G5" s="11" t="str"/>
      <x:c r="H5" s="11" t="str"/>
      <x:c r="I5" s="11" t="str"/>
      <x:c r="J5" s="11" t="str"/>
      <x:c r="K5" s="11" t="str"/>
      <x:c r="L5" s="28" t="str"/>
      <x:c r="M5" s="28" t="str"/>
      <x:c r="N5" s="11" t="str"/>
      <x:c r="O5" s="11" t="str"/>
      <x:c r="P5" s="11" t="str"/>
      <x:c r="Q5" s="11" t="str">
        <x:v>{"id":"7d095e3fd5a148f98ccb8207d772e3c5","name":"agent-import.zip","size":890,"uploadedAt":"2026-08-19T01:07:03.994Z"}</x:v>
      </x:c>
      <x:c r="R5" s="28" t="str">
        <x:v>{"id":"agent-import-probe","name":"导入验证 Agent","desc":"用于验证导入时原包是否留档","category":"office","bizLine":"office","homeTag":"mkt","author":"Imported","published":true,"invokes":0,"skillIds":[],"chatId":"marketing","icon":"fa-robot","color":"from-zinc-700 to-zinc-900","systemPrompt":"你是一个用于验证的 Agent。","publisher":"Mcyo","publisherUserId":"u-mcyo","packageBlob":{"id":"7d095e3fd5a148f98ccb8207d772e3c5","url":"/api/v1/workspaces/ws-cn-marketing/blobs/7d095e3fd5a148f98ccb8207d772e3c5","name":"agent-import.zip","size":890,"uploadedAt":"2026-08-19T01:07:03.994Z"}}</x:v>
      </x:c>
    </x:row>
    <x:row r="6" ht="82" customHeight="1">
      <x:c r="A6" s="28" t="str">
        <x:v>agent-marketing</x:v>
      </x:c>
      <x:c r="B6" s="28" t="str">
        <x:v>营销 Agent</x:v>
      </x:c>
      <x:c r="C6" s="11" t="str">
        <x:v>【业务专家】AI 问数、问报告与智能分析：销售/渠道/零售数据洞察与行动建议（编排多技能）</x:v>
      </x:c>
      <x:c r="D6" s="11" t="str">
        <x:v>你是 MSS 营销 Agent，面向业务的问数、问报告与智能分析专家。优先编排：多源数据分析 → SO/零售洞察 → 价格与异动解释 → 行动建议与简报。口径不清时先声明假设。标注演示样例。</x:v>
      </x:c>
      <x:c r="E6" s="11" t="str">
        <x:v>@营销 Agent 请基于演示样例做一次智能分析：近一周欧洲穿戴销售趋势、代表处排名异动，并输出可进例会的简报与三条行动建议（可衔接 /数据分析、/so报表）。</x:v>
      </x:c>
      <x:c r="F6" s="11" t="str">
        <x:v>澄清问数/问报告目标与口径、挂载数据分析并汇总关键指标（/数据分析）、对齐 SO/零售报表并标注异常（/so报表、零售洞察）、输出洞察结论、风险与行动建议简报</x:v>
      </x:c>
      <x:c r="G6" s="11" t="str">
        <x:v>skill-data-analysis、skill-so-report、skill-retail-insight、skill-price-monitor、skill-work-summary</x:v>
      </x:c>
      <x:c r="H6" s="11" t="str">
        <x:v>多源数据分析、SO/SI 报表、零售信息洞察、价格与 Offer 监测、个人工作总结</x:v>
      </x:c>
      <x:c r="I6" s="11" t="str">
        <x:v>skill-data-analysis</x:v>
      </x:c>
      <x:c r="J6" s="11" t="str">
        <x:v>gtm、mkt、channel、retail、ecommerce</x:v>
      </x:c>
      <x:c r="K6" s="11" t="str">
        <x:v>GTM、MKT、渠道、零售、电商</x:v>
      </x:c>
      <x:c r="L6" s="28" t="str">
        <x:v>china、apac、mea、latam、europe、eurasia</x:v>
      </x:c>
      <x:c r="M6" s="28" t="str">
        <x:v>中国区、亚太、中东非、拉美、欧洲、欧亚</x:v>
      </x:c>
      <x:c r="N6" s="11" t="str">
        <x:v>问数、报表、分析、营销、SO</x:v>
      </x:c>
      <x:c r="O6" s="11" t="str">
        <x:v>公开可见</x:v>
      </x:c>
      <x:c r="P6" s="11" t="str"/>
      <x:c r="Q6" s="11" t="str">
        <x:v>{"id":"5ca60d5d081d4524ab5c7a4d84492ee4","name":"agent-demo.zip","size":1570,"uploadedAt":"2026-08-19T01:02:11.163Z"}</x:v>
      </x:c>
      <x:c r="R6" s="28" t="str">
        <x:v>{"id":"agent-marketing","name":"营销 Agent","desc":"【业务专家】AI 问数、问报告与智能分析：销售/渠道/零售数据洞察与行动建议（编排多技能）","category":"manage","bizLine":"数据分析","homeTag":"gtm","author":"华为 MSS","publisher":"Mcyo","publisherUserId":"u-mcyo","published":true,"invokes":5200,"skillIds":["skill-data-analysis","skill-so-report","skill-retail-insight","skill-price-monitor","skill-work-summary"],"primarySkillId":"skill-data-analysis","demoPrompt":"@营销 Agent 请基于演示样例做一次智能分析：近一周欧洲穿戴销售趋势、代表处排名异动，并输出可进例会的简报与三条行动建议（可衔接 /数据分析、/so报表）。","planSteps":["澄清问数/问报告目标与口径","挂载数据分析并汇总关键指标（/数据分析）","对齐 SO/零售报表并标注异常（/so报表、零售洞察）","输出洞察结论、风险与行动建议简报"],"chatId":"marketing","icon":"fa-chart-line","color":"from-zinc-800 to-zinc-950","avatarPresetId":"hw-chengxin","systemPrompt":"你是 MSS 营销 Agent，面向业务的问数、问报告与智能分析专家。优先编排：多源数据分析 → SO/零售洞察 → 价格与异动解释 → 行动建议与简报。口径不清时先声明假设。标注演示样例。","visibility":"public","businessScenarioId":"S8","ownerDeptIds":["gtm","mkt","channel","retail","ecommerce"],"ownerRegionIds":["china","apac","mea","latam","europe","eurasia"],"scenarioTags":["问数","报表","分析","营销","SO"],"updatedAt":"2026-08-19","featuredInDoTask":true,"packageBlob":{"id":"5ca60d5d081d4524ab5c7a4d84492ee4","url":"/api/v1/workspaces/ws-cn-marketing/blobs/5ca60d5d081d4524ab5c7a4d84492ee4","name":"agent-demo.zip","size":1570,"uploadedAt":"2026-08-19T01:02:11.163Z"}}</x:v>
      </x:c>
    </x:row>
    <x:row r="7" ht="82" customHeight="1">
      <x:c r="A7" s="28" t="str">
        <x:v>agent-data-analysis</x:v>
      </x:c>
      <x:c r="B7" s="28" t="str">
        <x:v>数据分析 Agent</x:v>
      </x:c>
      <x:c r="C7" s="11" t="str">
        <x:v>【办公提效】多源数据自动分析，融合 ISRP/零售/电商数据输出洞察报表（可对话编排 Skill）</x:v>
      </x:c>
      <x:c r="D7" s="11" t="str">
        <x:v>你是 MSS 数据分析专家。优先编排：多源数据分析 → SO 报表 → 工作总结。输出可进例会的洞察与 NBA，口径不清时先声明。标注演示样例。</x:v>
      </x:c>
      <x:c r="E7" s="11" t="str">
        <x:v>@数据分析 Agent /数据分析 请基于演示样例，输出近一周欧洲穿戴销售趋势、代表处排名异动与行动建议；必要时衔接 /so报表 口径说明。</x:v>
      </x:c>
      <x:c r="F7" s="11" t="str">
        <x:v>挂载主 Skill：多源数据分析（/数据分析）、对齐 SO 口径并校验异常（/so报表）、归因拆解与可视化要点、汇总行动建议并生成简要工作总结要点</x:v>
      </x:c>
      <x:c r="G7" s="11" t="str">
        <x:v>skill-data-analysis、skill-so-report、skill-work-summary</x:v>
      </x:c>
      <x:c r="H7" s="11" t="str">
        <x:v>多源数据分析、SO/SI 报表、个人工作总结</x:v>
      </x:c>
      <x:c r="I7" s="11" t="str">
        <x:v>skill-data-analysis</x:v>
      </x:c>
      <x:c r="J7" s="11" t="str">
        <x:v>gtm、channel</x:v>
      </x:c>
      <x:c r="K7" s="11" t="str">
        <x:v>GTM、渠道</x:v>
      </x:c>
      <x:c r="L7" s="28" t="str">
        <x:v>latam、mea、eurasia、china</x:v>
      </x:c>
      <x:c r="M7" s="28" t="str">
        <x:v>拉美、中东非、欧亚、中国区</x:v>
      </x:c>
      <x:c r="N7" s="11" t="str">
        <x:v>综履、结算、返利、SO</x:v>
      </x:c>
      <x:c r="O7" s="11" t="str"/>
      <x:c r="P7" s="11" t="str"/>
      <x:c r="Q7" s="11" t="str"/>
      <x:c r="R7" s="28" t="str">
        <x:v>{"id":"agent-data-analysis","name":"数据分析 Agent","desc":"【办公提效】多源数据自动分析，融合 ISRP/零售/电商数据输出洞察报表（可对话编排 Skill）","category":"office","bizLine":"GTM/渠道","homeTag":"gtm","ownerDeptIds":["gtm","channel"],"ownerRegionIds":["latam","mea","eurasia","china"],"author":"华为 MSS","published":true,"invokes":4280,"skillIds":["skill-data-analysis","skill-so-report","skill-work-summary"],"chatId":"marketing","icon":"fa-chart-pie","color":"from-zinc-700 to-zinc-900","scenarioTags":["综履","结算","返利","SO"],"systemPrompt":"你是 MSS 数据分析专家。优先编排：多源数据分析 → SO 报表 → 工作总结。输出可进例会的洞察与 NBA，口径不清时先声明。标注演示样例。","primarySkillId":"skill-data-analysis","demoPrompt":"@数据分析 Agent /数据分析 请基于演示样例，输出近一周欧洲穿戴销售趋势、代表处排名异动与行动建议；必要时衔接 /so报表 口径说明。","planSteps":["挂载主 Skill：多源数据分析（/数据分析）","对齐 SO 口径并校验异常（/so报表）","归因拆解与可视化要点","汇总行动建议并生成简要工作总结要点"],"businessScenarioId":"S8","updatedAt":"2026-08-05"}</x:v>
      </x:c>
    </x:row>
    <x:row r="8" ht="82" customHeight="1">
      <x:c r="A8" s="28" t="str">
        <x:v>agent-doc-review</x:v>
      </x:c>
      <x:c r="B8" s="28" t="str">
        <x:v>文档解读 Agent</x:v>
      </x:c>
      <x:c r="C8" s="11" t="str">
        <x:v>【办公提效】营销物料/合同/招投标文档内容正确性、风险与合规筛查（可对话编排 Skill）</x:v>
      </x:c>
      <x:c r="D8" s="11" t="str">
        <x:v>你是文档解读与合规专家。优先：合规筛查 → 文档生成改写建议 → 文档解析。明确非法律意见，需合规终审。</x:v>
      </x:c>
      <x:c r="E8" s="11" t="str">
        <x:v>@文档解读 Agent /合规筛查 请对演示样例营销文案做合规筛查，并给出改写要点与待人工确认项。</x:v>
      </x:c>
      <x:c r="F8" s="11" t="str">
        <x:v>挂载合规筛查 Skill、定位高/中风险表述、给出改写与放行条件、必要时生成合规友好初稿要点</x:v>
      </x:c>
      <x:c r="G8" s="11" t="str">
        <x:v>skill-doc-compliance、skill-doc-gen、skill-doc-parser</x:v>
      </x:c>
      <x:c r="H8" s="11" t="str">
        <x:v>文档合规筛查、文档初稿生成、文档解析</x:v>
      </x:c>
      <x:c r="I8" s="11" t="str">
        <x:v>skill-doc-compliance</x:v>
      </x:c>
      <x:c r="J8" s="11" t="str">
        <x:v>mkt、quality</x:v>
      </x:c>
      <x:c r="K8" s="11" t="str">
        <x:v>MKT、质运</x:v>
      </x:c>
      <x:c r="L8" s="28" t="str">
        <x:v>europe</x:v>
      </x:c>
      <x:c r="M8" s="28" t="str">
        <x:v>欧洲</x:v>
      </x:c>
      <x:c r="N8" s="11" t="str">
        <x:v>办公提效、平台、合规、质量与运营</x:v>
      </x:c>
      <x:c r="O8" s="11" t="str"/>
      <x:c r="P8" s="11" t="str"/>
      <x:c r="Q8" s="11" t="str"/>
      <x:c r="R8" s="28" t="str">
        <x:v>{"id":"agent-doc-review","name":"文档解读 Agent","desc":"【办公提效】营销物料/合同/招投标文档内容正确性、风险与合规筛查（可对话编排 Skill）","category":"office","bizLine":"MKT/质量与运营","homeTag":"mkt","ownerDeptIds":["mkt","quality"],"ownerRegionIds":["europe"],"author":"华为 MSS","published":true,"invokes":3150,"skillIds":["skill-doc-compliance","skill-doc-gen","skill-doc-parser"],"chatId":"knowledge","icon":"fa-file-shield","color":"from-stone-500 to-zinc-700","scenarioTags":["办公提效","平台","合规","质量与运营"],"systemPrompt":"你是文档解读与合规专家。优先：合规筛查 → 文档生成改写建议 → 文档解析。明确非法律意见，需合规终审。","primarySkillId":"skill-doc-compliance","demoPrompt":"@文档解读 Agent /合规筛查 请对演示样例营销文案做合规筛查，并给出改写要点与待人工确认项。","planSteps":["挂载合规筛查 Skill","定位高/中风险表述","给出改写与放行条件","必要时生成合规友好初稿要点"],"businessScenarioId":"S4","updatedAt":"2026-07-28"}</x:v>
      </x:c>
    </x:row>
    <x:row r="9" ht="82" customHeight="1">
      <x:c r="A9" s="28" t="str">
        <x:v>agent-file-organize</x:v>
      </x:c>
      <x:c r="B9" s="28" t="str">
        <x:v>文件整理 Agent</x:v>
      </x:c>
      <x:c r="C9" s="11" t="str">
        <x:v>【办公提效】本地文件夹/员工助手/Email 多源文件清洗归档与个人总结（可对话编排 Skill）</x:v>
      </x:c>
      <x:c r="D9" s="11" t="str">
        <x:v>你是文件整理专家。优先智能归档，并输出个人总结要点。命名与路径需可执行。</x:v>
      </x:c>
      <x:c r="E9" s="11" t="str">
        <x:v>@文件整理 Agent /文件整理 请基于演示样例，给出会议纪要与报表的归档方案，并附本周工作总结要点。</x:v>
      </x:c>
      <x:c r="F9" s="11" t="str">
        <x:v>识别文件类型与业务归属、生成归档路径与命名、抽取摘要标签、输出工作总结精简版</x:v>
      </x:c>
      <x:c r="G9" s="11" t="str">
        <x:v>skill-file-archive、skill-work-summary、skill-doc-parser</x:v>
      </x:c>
      <x:c r="H9" s="11" t="str">
        <x:v>智能文件归档、个人工作总结、文档解析</x:v>
      </x:c>
      <x:c r="I9" s="11" t="str">
        <x:v>skill-file-archive</x:v>
      </x:c>
      <x:c r="J9" s="11" t="str">
        <x:v>hr</x:v>
      </x:c>
      <x:c r="K9" s="11" t="str">
        <x:v>HR</x:v>
      </x:c>
      <x:c r="L9" s="28" t="str"/>
      <x:c r="M9" s="28" t="str"/>
      <x:c r="N9" s="11" t="str">
        <x:v>知识、归档</x:v>
      </x:c>
      <x:c r="O9" s="11" t="str"/>
      <x:c r="P9" s="11" t="str"/>
      <x:c r="Q9" s="11" t="str"/>
      <x:c r="R9" s="28" t="str">
        <x:v>{"id":"agent-file-organize","name":"文件整理 Agent","desc":"【办公提效】本地文件夹/员工助手/Email 多源文件清洗归档与个人总结（可对话编排 Skill）","category":"office","bizLine":"HR","homeTag":"hr","ownerDeptIds":["hr"],"author":"华为 MSS","published":true,"invokes":1890,"skillIds":["skill-file-archive","skill-work-summary","skill-doc-parser"],"chatId":"marketing","icon":"fa-folder-tree","color":"from-slate-600 to-slate-800","scenarioTags":["知识","归档"],"systemPrompt":"你是文件整理专家。优先智能归档，并输出个人总结要点。命名与路径需可执行。","primarySkillId":"skill-file-archive","demoPrompt":"@文件整理 Agent /文件整理 请基于演示样例，给出会议纪要与报表的归档方案，并附本周工作总结要点。","planSteps":["识别文件类型与业务归属","生成归档路径与命名","抽取摘要标签","输出工作总结精简版"],"businessScenarioId":"S7","updatedAt":"2026-06-18"}</x:v>
      </x:c>
    </x:row>
    <x:row r="10" ht="82" customHeight="1">
      <x:c r="A10" s="28" t="str">
        <x:v>agent-ppt</x:v>
      </x:c>
      <x:c r="B10" s="28" t="str">
        <x:v>PPT 生成 Agent</x:v>
      </x:c>
      <x:c r="C10" s="11" t="str">
        <x:v>【办公提效】多源数据驱动 PPT 自动生成，支持员工助手内部 POC 验证（可对话编排 Skill）</x:v>
      </x:c>
      <x:c r="D10" s="11" t="str">
        <x:v>你是 PPT 生成专家。先定大纲与一页一事，再补数据要点；输出可进制作工具的结构而非二进制。</x:v>
      </x:c>
      <x:c r="E10" s="11" t="str">
        <x:v>@PPT 生成 Agent /ppt 请基于演示样例，生成欧洲穿戴周度经营 PPT 大纲（8～10 页）及每页要点。</x:v>
      </x:c>
      <x:c r="F10" s="11" t="str">
        <x:v>确认汇报场景与页数、设计大纲（一页一事）、填充图表与结论页、输出演讲备注</x:v>
      </x:c>
      <x:c r="G10" s="11" t="str">
        <x:v>skill-ppt-gen、skill-data-analysis、skill-doc-gen</x:v>
      </x:c>
      <x:c r="H10" s="11" t="str">
        <x:v>PPT 自动生成、多源数据分析、文档初稿生成</x:v>
      </x:c>
      <x:c r="I10" s="11" t="str">
        <x:v>skill-ppt-gen</x:v>
      </x:c>
      <x:c r="J10" s="11" t="str">
        <x:v>mkt、gtm</x:v>
      </x:c>
      <x:c r="K10" s="11" t="str">
        <x:v>MKT、GTM</x:v>
      </x:c>
      <x:c r="L10" s="28" t="str">
        <x:v>latam</x:v>
      </x:c>
      <x:c r="M10" s="28" t="str">
        <x:v>拉美</x:v>
      </x:c>
      <x:c r="N10" s="11" t="str">
        <x:v>办公提效、PPT、平台</x:v>
      </x:c>
      <x:c r="O10" s="11" t="str"/>
      <x:c r="P10" s="11" t="str"/>
      <x:c r="Q10" s="11" t="str"/>
      <x:c r="R10" s="28" t="str">
        <x:v>{"id":"agent-ppt","name":"PPT 生成 Agent","desc":"【办公提效】多源数据驱动 PPT 自动生成，支持员工助手内部 POC 验证（可对话编排 Skill）","category":"office","bizLine":"MKT/GTM","homeTag":"mkt","ownerDeptIds":["mkt","gtm"],"ownerRegionIds":["latam"],"author":"华为 MSS","published":true,"invokes":2240,"skillIds":["skill-ppt-gen","skill-data-analysis","skill-doc-gen"],"chatId":"marketing","icon":"fa-file-powerpoint","color":"from-neutral-500 to-zinc-700","scenarioTags":["办公提效","PPT","平台"],"systemPrompt":"你是 PPT 生成专家。先定大纲与一页一事，再补数据要点；输出可进制作工具的结构而非二进制。","primarySkillId":"skill-ppt-gen","demoPrompt":"@PPT 生成 Agent /ppt 请基于演示样例，生成欧洲穿戴周度经营 PPT 大纲（8～10 页）及每页要点。","planSteps":["确认汇报场景与页数","设计大纲（一页一事）","填充图表与结论页","输出演讲备注"],"businessScenarioId":"S2","updatedAt":"2026-07-09"}</x:v>
      </x:c>
    </x:row>
    <x:row r="11" ht="82" customHeight="1">
      <x:c r="A11" s="28" t="str">
        <x:v>agent-meeting</x:v>
      </x:c>
      <x:c r="B11" s="28" t="str">
        <x:v>会议纪要 Agent</x:v>
      </x:c>
      <x:c r="C11" s="11" t="str">
        <x:v>【办公提效】会议纪要 AI 自动生成，小批量试点 60% AI + 40% 人工（可对话编排 Skill）</x:v>
      </x:c>
      <x:c r="D11" s="11" t="str">
        <x:v>你是会议纪要专家。决议/待办必须含 Owner 与 Due；模糊处标「待确认」。可建议 WeCom 推送预览。</x:v>
      </x:c>
      <x:c r="E11" s="11" t="str">
        <x:v>@会议纪要 Agent /会议纪要 请基于演示样例生成欧洲穿戴周例会纪要，并给出 WeCom 推送预览要点。</x:v>
      </x:c>
      <x:c r="F11" s="11" t="str">
        <x:v>提炼决议与待办、整理未决问题、生成可分发纪要、组装企业微信推送预览</x:v>
      </x:c>
      <x:c r="G11" s="11" t="str">
        <x:v>skill-meeting-minutes、skill-doc-gen、skill-wecom</x:v>
      </x:c>
      <x:c r="H11" s="11" t="str">
        <x:v>会议纪要生成、文档初稿生成、企微消息推送</x:v>
      </x:c>
      <x:c r="I11" s="11" t="str">
        <x:v>skill-meeting-minutes</x:v>
      </x:c>
      <x:c r="J11" s="11" t="str">
        <x:v>hr</x:v>
      </x:c>
      <x:c r="K11" s="11" t="str">
        <x:v>HR</x:v>
      </x:c>
      <x:c r="L11" s="28" t="str"/>
      <x:c r="M11" s="28" t="str"/>
      <x:c r="N11" s="11" t="str">
        <x:v>办公提效、会议、平台</x:v>
      </x:c>
      <x:c r="O11" s="11" t="str"/>
      <x:c r="P11" s="11" t="str"/>
      <x:c r="Q11" s="11" t="str"/>
      <x:c r="R11" s="28" t="str">
        <x:v>{"id":"agent-meeting","name":"会议纪要 Agent","desc":"【办公提效】会议纪要 AI 自动生成，小批量试点 60% AI + 40% 人工（可对话编排 Skill）","category":"office","bizLine":"HR","homeTag":"hr","ownerDeptIds":["hr"],"author":"华为 MSS","published":true,"invokes":5340,"skillIds":["skill-meeting-minutes","skill-doc-gen","skill-wecom"],"chatId":"marketing","icon":"fa-clipboard-list","color":"from-slate-500 to-zinc-700","scenarioTags":["办公提效","会议","平台"],"systemPrompt":"你是会议纪要专家。决议/待办必须含 Owner 与 Due；模糊处标「待确认」。可建议 WeCom 推送预览。","primarySkillId":"skill-meeting-minutes","demoPrompt":"@会议纪要 Agent /会议纪要 请基于演示样例生成欧洲穿戴周例会纪要，并给出 WeCom 推送预览要点。","planSteps":["提炼决议与待办","整理未决问题","生成可分发纪要","组装企业微信推送预览"],"businessScenarioId":"S7","updatedAt":"2026-08-14"}</x:v>
      </x:c>
    </x:row>
    <x:row r="12" ht="82" customHeight="1">
      <x:c r="A12" s="28" t="str">
        <x:v>agent-launch-sentiment</x:v>
      </x:c>
      <x:c r="B12" s="28" t="str">
        <x:v>舆情快报 Agent</x:v>
      </x:c>
      <x:c r="C12" s="11" t="str">
        <x:v>【管理提效】产品发布舆情 AI 分析快报，面向 MKT/服务（可对话编排 Skill）</x:v>
      </x:c>
      <x:c r="D12" s="11" t="str">
        <x:v>你是发布会舆情专家。输出声量/情感/热点与分角色建议，样本不足时给定性并标注演示样例。</x:v>
      </x:c>
      <x:c r="E12" s="11" t="str">
        <x:v>@舆情快报 Agent /舆情快报 请基于演示样例输出穿戴新品发布 48h 舆情快报与 PR/MKT/服务建议。</x:v>
      </x:c>
      <x:c r="F12" s="11" t="str">
        <x:v>界定监测窗口、情感与热点聚类、风险机会识别、分角色建议与推送要点</x:v>
      </x:c>
      <x:c r="G12" s="11" t="str">
        <x:v>skill-launch-sentiment、skill-doc-gen、skill-wecom</x:v>
      </x:c>
      <x:c r="H12" s="11" t="str">
        <x:v>发布会舆情快报、文档初稿生成、企微消息推送</x:v>
      </x:c>
      <x:c r="I12" s="11" t="str">
        <x:v>skill-launch-sentiment</x:v>
      </x:c>
      <x:c r="J12" s="11" t="str">
        <x:v>mkt、service</x:v>
      </x:c>
      <x:c r="K12" s="11" t="str">
        <x:v>MKT、服务</x:v>
      </x:c>
      <x:c r="L12" s="28" t="str">
        <x:v>europe</x:v>
      </x:c>
      <x:c r="M12" s="28" t="str">
        <x:v>欧洲</x:v>
      </x:c>
      <x:c r="N12" s="11" t="str"/>
      <x:c r="O12" s="11" t="str"/>
      <x:c r="P12" s="11" t="str"/>
      <x:c r="Q12" s="11" t="str"/>
      <x:c r="R12" s="28" t="str">
        <x:v>{"id":"agent-launch-sentiment","name":"舆情快报 Agent","desc":"【管理提效】产品发布舆情 AI 分析快报，面向 MKT/服务（可对话编排 Skill）","category":"manage","bizLine":"MKT/服务","homeTag":"mkt","ownerDeptIds":["mkt","service"],"ownerRegionIds":["europe"],"author":"华为 MSS","published":true,"invokes":1420,"skillIds":["skill-launch-sentiment","skill-doc-gen","skill-wecom"],"chatId":"marketing","icon":"fa-bullhorn","color":"from-zinc-600 to-zinc-800","systemPrompt":"你是发布会舆情专家。输出声量/情感/热点与分角色建议，样本不足时给定性并标注演示样例。","primarySkillId":"skill-launch-sentiment","demoPrompt":"@舆情快报 Agent /舆情快报 请基于演示样例输出穿戴新品发布 48h 舆情快报与 PR/MKT/服务建议。","planSteps":["界定监测窗口","情感与热点聚类","风险机会识别","分角色建议与推送要点"],"businessScenarioId":"S1","updatedAt":"2026-06-30"}</x:v>
      </x:c>
    </x:row>
    <x:row r="13" ht="82" customHeight="1">
      <x:c r="A13" s="28" t="str">
        <x:v>agent-survey</x:v>
      </x:c>
      <x:c r="B13" s="28" t="str">
        <x:v>问卷洞察 Agent</x:v>
      </x:c>
      <x:c r="C13" s="11" t="str">
        <x:v>【管理提效】洞察部用户问卷调研设计与开放题洞察分析（可对话编排 Skill）</x:v>
      </x:c>
      <x:c r="D13" s="11" t="str">
        <x:v>你是问卷洞察专家。关注 NPS/痛点/分人群差异，给出 MKT/产品/服务可执行建议。</x:v>
      </x:c>
      <x:c r="E13" s="11" t="str">
        <x:v>@问卷洞察 Agent /问卷洞察 请基于演示样例分析满意度问卷：NPS、痛点 TOP 与行动建议。</x:v>
      </x:c>
      <x:c r="F13" s="11" t="str">
        <x:v>样本与题项概览、核心指标与分层、痛点亮点 TOP、行动建议</x:v>
      </x:c>
      <x:c r="G13" s="11" t="str">
        <x:v>skill-survey-insight、skill-data-analysis、skill-doc-gen</x:v>
      </x:c>
      <x:c r="H13" s="11" t="str">
        <x:v>问卷洞察分析、多源数据分析、文档初稿生成</x:v>
      </x:c>
      <x:c r="I13" s="11" t="str">
        <x:v>skill-survey-insight</x:v>
      </x:c>
      <x:c r="J13" s="11" t="str">
        <x:v>mkt</x:v>
      </x:c>
      <x:c r="K13" s="11" t="str">
        <x:v>MKT</x:v>
      </x:c>
      <x:c r="L13" s="28" t="str"/>
      <x:c r="M13" s="28" t="str"/>
      <x:c r="N13" s="11" t="str"/>
      <x:c r="O13" s="11" t="str"/>
      <x:c r="P13" s="11" t="str"/>
      <x:c r="Q13" s="11" t="str"/>
      <x:c r="R13" s="28" t="str">
        <x:v>{"id":"agent-survey","name":"问卷洞察 Agent","desc":"【管理提效】洞察部用户问卷调研设计与开放题洞察分析（可对话编排 Skill）","category":"manage","bizLine":"MKT","homeTag":"mkt","ownerDeptIds":["mkt"],"author":"华为 MSS","published":true,"invokes":980,"skillIds":["skill-survey-insight","skill-data-analysis","skill-doc-gen"],"chatId":"marketing","icon":"fa-square-poll-vertical","color":"from-stone-500 to-zinc-600","systemPrompt":"你是问卷洞察专家。关注 NPS/痛点/分人群差异，给出 MKT/产品/服务可执行建议。","primarySkillId":"skill-survey-insight","demoPrompt":"@问卷洞察 Agent /问卷洞察 请基于演示样例分析满意度问卷：NPS、痛点 TOP 与行动建议。","planSteps":["样本与题项概览","核心指标与分层","痛点亮点 TOP","行动建议"],"businessScenarioId":"S1","updatedAt":"2026-05-22"}</x:v>
      </x:c>
    </x:row>
    <x:row r="14" ht="82" customHeight="1">
      <x:c r="A14" s="28" t="str">
        <x:v>agent-review-collect</x:v>
      </x:c>
      <x:c r="B14" s="28" t="str">
        <x:v>评分采集 Agent</x:v>
      </x:c>
      <x:c r="C14" s="11" t="str">
        <x:v>【管理提效】采集 Amazon 等平台 3C 商品购买页用户订单评论，清洗后交接翻译链路（可对话编排 Skill）</x:v>
      </x:c>
      <x:c r="D14" s="11" t="str">
        <x:v>你是评分采集 Agent。优先调用「评分采集」Skill（/评论采集），从 Amazon 等购买页采集订单评论并清洗交接；不做深度情感分析。</x:v>
      </x:c>
      <x:c r="E14" s="11" t="str">
        <x:v>@评分采集 Agent /评论采集 请采集 Amazon MX 演示样例 ASIN B0FPG9431G（3C）购买页订单评论，输出样本清单并交接翻译。</x:v>
      </x:c>
      <x:c r="F14" s="11" t="str">
        <x:v>确认平台/ASIN/品类、采集购买页订单评论、清洗去重与质量标注、交接语种翻译 Agent</x:v>
      </x:c>
      <x:c r="G14" s="11" t="str">
        <x:v>skill-review-collect、skill-review-translate、skill-data-analysis</x:v>
      </x:c>
      <x:c r="H14" s="11" t="str">
        <x:v>评分采集、评论语种翻译、多源数据分析</x:v>
      </x:c>
      <x:c r="I14" s="11" t="str">
        <x:v>skill-review-collect</x:v>
      </x:c>
      <x:c r="J14" s="11" t="str">
        <x:v>ecommerce、service</x:v>
      </x:c>
      <x:c r="K14" s="11" t="str">
        <x:v>电商、服务</x:v>
      </x:c>
      <x:c r="L14" s="28" t="str">
        <x:v>apac、europe、latam</x:v>
      </x:c>
      <x:c r="M14" s="28" t="str">
        <x:v>亚太、欧洲、拉美</x:v>
      </x:c>
      <x:c r="N14" s="11" t="str">
        <x:v>评论分析、评论、电商</x:v>
      </x:c>
      <x:c r="O14" s="11" t="str"/>
      <x:c r="P14" s="11" t="str"/>
      <x:c r="Q14" s="11" t="str"/>
      <x:c r="R14" s="28" t="str">
        <x:v>{"id":"agent-review-collect","name":"评分采集 Agent","desc":"【管理提效】采集 Amazon 等平台 3C 商品购买页用户订单评论，清洗后交接翻译链路（可对话编排 Skill）","category":"manage","bizLine":"电商/服务","homeTag":"ecommerce","ownerDeptIds":["ecommerce","service"],"ownerRegionIds":["apac","europe","latam"],"author":"华为 MSS","published":true,"invokes":2100,"skillIds":["skill-review-collect","skill-review-translate","skill-data-analysis"],"chatId":"knowledge","icon":"fa-download","color":"from-emerald-700 to-slate-800","scenarioTags":["评论分析","评论","电商"],"systemPrompt":"你是评分采集 Agent。优先调用「评分采集」Skill（/评论采集），从 Amazon 等购买页采集订单评论并清洗交接；不做深度情感分析。","primarySkillId":"skill-review-collect","demoPrompt":"@评分采集 Agent /评论采集 请采集 Amazon MX 演示样例 ASIN B0FPG9431G（3C）购买页订单评论，输出样本清单并交接翻译。","planSteps":["确认平台/ASIN/品类","采集购买页订单评论","清洗去重与质量标注","交接语种翻译 Agent"],"businessScenarioId":"S1","updatedAt":"2026-07-16"}</x:v>
      </x:c>
    </x:row>
    <x:row r="15" ht="82" customHeight="1">
      <x:c r="A15" s="28" t="str">
        <x:v>agent-review-translate</x:v>
      </x:c>
      <x:c r="B15" s="28" t="str">
        <x:v>语种翻译 Agent</x:v>
      </x:c>
      <x:c r="C15" s="11" t="str">
        <x:v>【管理提效】将采集的多语种订单评论统一翻译成英语与中文，保留原文对照（可对话编排 Skill）</x:v>
      </x:c>
      <x:c r="D15" s="11" t="str">
        <x:v>你是语种翻译 Agent。优先调用「评论语种翻译」Skill（/评论翻译），将多语种评论统一译为英语与中文并保留原文；不做情感聚类。</x:v>
      </x:c>
      <x:c r="E15" s="11" t="str">
        <x:v>@语种翻译 Agent /评论翻译 请将 Amazon MX 演示样例评论统一译为英语和中文，输出双语对照表。</x:v>
      </x:c>
      <x:c r="F15" s="11" t="str">
        <x:v>接收采集样本并识别源语、逐条译为英语与中文、术语统一与低置信度标注、交接评论分析 Agent</x:v>
      </x:c>
      <x:c r="G15" s="11" t="str">
        <x:v>skill-review-translate、skill-review-cluster、skill-doc-gen</x:v>
      </x:c>
      <x:c r="H15" s="11" t="str">
        <x:v>评论语种翻译、订单评论分析、文档初稿生成</x:v>
      </x:c>
      <x:c r="I15" s="11" t="str">
        <x:v>skill-review-translate</x:v>
      </x:c>
      <x:c r="J15" s="11" t="str">
        <x:v>ecommerce、mkt、service</x:v>
      </x:c>
      <x:c r="K15" s="11" t="str">
        <x:v>电商、MKT、服务</x:v>
      </x:c>
      <x:c r="L15" s="28" t="str">
        <x:v>apac、europe、latam</x:v>
      </x:c>
      <x:c r="M15" s="28" t="str">
        <x:v>亚太、欧洲、拉美</x:v>
      </x:c>
      <x:c r="N15" s="11" t="str">
        <x:v>评论分析、评论、电商、翻译、本地化、小语种</x:v>
      </x:c>
      <x:c r="O15" s="11" t="str"/>
      <x:c r="P15" s="11" t="str"/>
      <x:c r="Q15" s="11" t="str"/>
      <x:c r="R15" s="28" t="str">
        <x:v>{"id":"agent-review-translate","name":"语种翻译 Agent","desc":"【管理提效】将采集的多语种订单评论统一翻译成英语与中文，保留原文对照（可对话编排 Skill）","category":"manage","bizLine":"电商/服务","homeTag":"ecommerce","ownerDeptIds":["ecommerce","mkt","service"],"ownerRegionIds":["apac","europe","latam"],"author":"华为 MSS","published":true,"invokes":1960,"skillIds":["skill-review-translate","skill-review-cluster","skill-doc-gen"],"chatId":"knowledge","icon":"fa-language","color":"from-sky-600 to-slate-700","scenarioTags":["评论分析","评论","电商","翻译","本地化","小语种"],"systemPrompt":"你是语种翻译 Agent。优先调用「评论语种翻译」Skill（/评论翻译），将多语种评论统一译为英语与中文并保留原文；不做情感聚类。","primarySkillId":"skill-review-translate","demoPrompt":"@语种翻译 Agent /评论翻译 请将 Amazon MX 演示样例评论统一译为英语和中文，输出双语对照表。","planSteps":["接收采集样本并识别源语","逐条译为英语与中文","术语统一与低置信度标注","交接评论分析 Agent"],"businessScenarioId":"S2","updatedAt":"2026-07-02"}</x:v>
      </x:c>
    </x:row>
    <x:row r="16" ht="82" customHeight="1">
      <x:c r="A16" s="28" t="str">
        <x:v>agent-review</x:v>
      </x:c>
      <x:c r="B16" s="28" t="str">
        <x:v>评论分析 Agent</x:v>
      </x:c>
      <x:c r="C16" s="11" t="str">
        <x:v>【管理提效】对采集清洗并完成中英翻译的订单评论做情感判断与用户数据挖掘，面向电商/服务/MKT</x:v>
      </x:c>
      <x:c r="D16" s="11" t="str">
        <x:v>你是评论分析 Agent。优先调用「订单评论分析」Skill（/评论分析），承接采集+翻译后的清洗语料，输出情感判断、用户数据挖掘与行动建议。</x:v>
      </x:c>
      <x:c r="E16" s="11" t="str">
        <x:v>@评论分析 Agent /评论分析 请基于已清洗的 Amazon MX 演示样例 ASIN B0FPG9431G 输出情感判断、用户洞察、卖点 GAP 与分角色建议。</x:v>
      </x:c>
      <x:c r="F16" s="11" t="str">
        <x:v>确认上游采集/翻译语料、情感判断与主题聚类、用户数据挖掘与预警、电商/服务/MKT 行动建议</x:v>
      </x:c>
      <x:c r="G16" s="11" t="str">
        <x:v>skill-review-cluster、skill-data-analysis、skill-doc-gen</x:v>
      </x:c>
      <x:c r="H16" s="11" t="str">
        <x:v>订单评论分析、多源数据分析、文档初稿生成</x:v>
      </x:c>
      <x:c r="I16" s="11" t="str">
        <x:v>skill-review-cluster</x:v>
      </x:c>
      <x:c r="J16" s="11" t="str">
        <x:v>ecommerce、service、mkt</x:v>
      </x:c>
      <x:c r="K16" s="11" t="str">
        <x:v>电商、服务、MKT</x:v>
      </x:c>
      <x:c r="L16" s="28" t="str">
        <x:v>apac、europe</x:v>
      </x:c>
      <x:c r="M16" s="28" t="str">
        <x:v>亚太、欧洲</x:v>
      </x:c>
      <x:c r="N16" s="11" t="str">
        <x:v>评论分析、评论、电商</x:v>
      </x:c>
      <x:c r="O16" s="11" t="str"/>
      <x:c r="P16" s="11" t="str"/>
      <x:c r="Q16" s="11" t="str"/>
      <x:c r="R16" s="28" t="str">
        <x:v>{"id":"agent-review","name":"评论分析 Agent","desc":"【管理提效】对采集清洗并完成中英翻译的订单评论做情感判断与用户数据挖掘，面向电商/服务/MKT","category":"manage","bizLine":"电商/服务","homeTag":"ecommerce","ownerDeptIds":["ecommerce","service","mkt"],"ownerRegionIds":["apac","europe"],"author":"华为 MSS","published":true,"invokes":2780,"skillIds":["skill-review-cluster","skill-data-analysis","skill-doc-gen"],"chatId":"knowledge","icon":"fa-comments","color":"from-slate-500 to-slate-700","scenarioTags":["评论分析","评论","电商"],"systemPrompt":"你是评论分析 Agent。优先调用「订单评论分析」Skill（/评论分析），承接采集+翻译后的清洗语料，输出情感判断、用户数据挖掘与行动建议。","primarySkillId":"skill-review-cluster","demoPrompt":"@评论分析 Agent /评论分析 请基于已清洗的 Amazon MX 演示样例 ASIN B0FPG9431G 输出情感判断、用户洞察、卖点 GAP 与分角色建议。","planSteps":["确认上游采集/翻译语料","情感判断与主题聚类","用户数据挖掘与预警","电商/服务/MKT 行动建议"],"businessScenarioId":"S1","updatedAt":"2026-07-21"}</x:v>
      </x:c>
    </x:row>
    <x:row r="17" ht="82" customHeight="1">
      <x:c r="A17" s="28" t="str">
        <x:v>agent-retail-insight</x:v>
      </x:c>
      <x:c r="B17" s="28" t="str">
        <x:v>零售洞察 Agent</x:v>
      </x:c>
      <x:c r="C17" s="11" t="str">
        <x:v>【管理提效】零售信息洞察 π 例行报告，门店 DOS/转化/陈列分析（可对话编排 Skill）</x:v>
      </x:c>
      <x:c r="D17" s="11" t="str">
        <x:v>你是零售洞察 π 专家。聚焦 DOS/转化/陈列异常门店与可执行动作。</x:v>
      </x:c>
      <x:c r="E17" s="11" t="str">
        <x:v>@零售洞察 Agent /零售洞察 请基于演示样例输出 3 月代表处 DOS/转化洞察与异常门店动作。</x:v>
      </x:c>
      <x:c r="F17" s="11" t="str">
        <x:v>选定范围与口径、识别异常/机会门店、原因假设、零售/供应/培训动作</x:v>
      </x:c>
      <x:c r="G17" s="11" t="str">
        <x:v>skill-retail-insight、skill-so-report、skill-doc-gen</x:v>
      </x:c>
      <x:c r="H17" s="11" t="str">
        <x:v>零售信息洞察、SO/SI 报表、文档初稿生成</x:v>
      </x:c>
      <x:c r="I17" s="11" t="str">
        <x:v>skill-retail-insight</x:v>
      </x:c>
      <x:c r="J17" s="11" t="str">
        <x:v>retail、ecommerce</x:v>
      </x:c>
      <x:c r="K17" s="11" t="str">
        <x:v>零售、电商</x:v>
      </x:c>
      <x:c r="L17" s="28" t="str">
        <x:v>latam、eurasia、china</x:v>
      </x:c>
      <x:c r="M17" s="28" t="str">
        <x:v>拉美、欧亚、中国区</x:v>
      </x:c>
      <x:c r="N17" s="11" t="str"/>
      <x:c r="O17" s="11" t="str"/>
      <x:c r="P17" s="11" t="str"/>
      <x:c r="Q17" s="11" t="str"/>
      <x:c r="R17" s="28" t="str">
        <x:v>{"id":"agent-retail-insight","name":"零售洞察 Agent","desc":"【管理提效】零售信息洞察 π 例行报告，门店 DOS/转化/陈列分析（可对话编排 Skill）","category":"manage","bizLine":"零售/电商","homeTag":"retail","ownerDeptIds":["retail","ecommerce"],"ownerRegionIds":["latam","eurasia","china"],"author":"华为 MSS","published":true,"invokes":3680,"skillIds":["skill-retail-insight","skill-so-report","skill-doc-gen"],"chatId":"marketing","icon":"fa-store","color":"from-neutral-600 to-zinc-800","systemPrompt":"你是零售洞察 π 专家。聚焦 DOS/转化/陈列异常门店与可执行动作。","primarySkillId":"skill-retail-insight","demoPrompt":"@零售洞察 Agent /零售洞察 请基于演示样例输出 3 月代表处 DOS/转化洞察与异常门店动作。","planSteps":["选定范围与口径","识别异常/机会门店","原因假设","零售/供应/培训动作"],"businessScenarioId":"S1","updatedAt":"2026-08-08"}</x:v>
      </x:c>
    </x:row>
    <x:row r="18" ht="82" customHeight="1">
      <x:c r="A18" s="28" t="str">
        <x:v>agent-price-monitor</x:v>
      </x:c>
      <x:c r="B18" s="28" t="str">
        <x:v>价格监测 Agent</x:v>
      </x:c>
      <x:c r="C18" s="11" t="str">
        <x:v>【管理提效】18 国多渠道价格 &amp; offer 监测，覆盖 5347 行/周级入表（可对话编排 Skill）</x:v>
      </x:c>
      <x:c r="D18" s="11" t="str">
        <x:v>你是价格监测专家。关注异常降价/窜货与 offer 变化，给电商与渠道跟进建议。</x:v>
      </x:c>
      <x:c r="E18" s="11" t="str">
        <x:v>@价格监测 Agent /价格监测 请基于演示样例输出 DE/UK/MX 主力 SKU 价格与 offer 监测简报。</x:v>
      </x:c>
      <x:c r="F18" s="11" t="str">
        <x:v>确认国家渠道 SKU、聚合价格与 offer、异常告警、跟进建议与推送要点</x:v>
      </x:c>
      <x:c r="G18" s="11" t="str">
        <x:v>skill-price-monitor、skill-data-analysis、skill-wecom</x:v>
      </x:c>
      <x:c r="H18" s="11" t="str">
        <x:v>价格与 Offer 监测、多源数据分析、企微消息推送</x:v>
      </x:c>
      <x:c r="I18" s="11" t="str">
        <x:v>skill-price-monitor</x:v>
      </x:c>
      <x:c r="J18" s="11" t="str">
        <x:v>gtm、channel、ecommerce</x:v>
      </x:c>
      <x:c r="K18" s="11" t="str">
        <x:v>GTM、渠道、电商</x:v>
      </x:c>
      <x:c r="L18" s="28" t="str">
        <x:v>china、apac、mea、latam、europe、eurasia</x:v>
      </x:c>
      <x:c r="M18" s="28" t="str">
        <x:v>中国区、亚太、中东非、拉美、欧洲、欧亚</x:v>
      </x:c>
      <x:c r="N18" s="11" t="str">
        <x:v>价格监测、offer、价格</x:v>
      </x:c>
      <x:c r="O18" s="11" t="str"/>
      <x:c r="P18" s="11" t="str"/>
      <x:c r="Q18" s="11" t="str"/>
      <x:c r="R18" s="28" t="str">
        <x:v>{"id":"agent-price-monitor","name":"价格监测 Agent","desc":"【管理提效】18 国多渠道价格 &amp; offer 监测，覆盖 5347 行/周级入表（可对话编排 Skill）","category":"manage","bizLine":"渠道/电商/GTM","homeTag":"gtm","ownerDeptIds":["gtm","channel","ecommerce"],"ownerRegionIds":["china","apac","mea","latam","europe","eurasia"],"author":"华为 MSS","published":true,"invokes":4120,"skillIds":["skill-price-monitor","skill-data-analysis","skill-wecom"],"chatId":"marketing","icon":"fa-tags","color":"from-emerald-800 to-emerald-900","scenarioTags":["价格监测","offer","价格"],"systemPrompt":"你是价格监测专家。关注异常降价/窜货与 offer 变化，给电商与渠道跟进建议。","primarySkillId":"skill-price-monitor","demoPrompt":"@价格监测 Agent /价格监测 请基于演示样例输出 DE/UK/MX 主力 SKU 价格与 offer 监测简报。","planSteps":["确认国家渠道 SKU","聚合价格与 offer","异常告警","跟进建议与推送要点"],"businessScenarioId":"S1","updatedAt":"2026-08-11"}</x:v>
      </x:c>
    </x:row>
    <x:row r="19" ht="82" customHeight="1">
      <x:c r="A19" s="28" t="str">
        <x:v>agent-hr-resume</x:v>
      </x:c>
      <x:c r="B19" s="28" t="str">
        <x:v>简历筛选 Agent</x:v>
      </x:c>
      <x:c r="C19" s="11" t="str">
        <x:v>【流程提效】JD 解析 + 简历筛选 + 面试分析三 Agent 协同，面向 HR/用人部门（可对话编排 Skill）</x:v>
      </x:c>
      <x:c r="D19" s="11" t="str">
        <x:v>你是招聘协同专家。编排：JD 解析 → 简历筛选 → 面试分析。辅助决策，非录用决定。</x:v>
      </x:c>
      <x:c r="E19" s="11" t="str">
        <x:v>@简历筛选 Agent /简历筛选 请基于演示样例完成人岗匹配，并说明与 JD 解析、面试分析的衔接要点。</x:v>
      </x:c>
      <x:c r="F19" s="11" t="str">
        <x:v>对齐 JD 关键要求（/jd解析）、简历匹配打分（/简历筛选）、输出面试关注清单、说明二面/面试分析衔接</x:v>
      </x:c>
      <x:c r="G19" s="11" t="str">
        <x:v>skill-jd-parser、skill-resume-screen、skill-interview-analysis</x:v>
      </x:c>
      <x:c r="H19" s="11" t="str">
        <x:v>JD 解析、简历筛选、面试分析</x:v>
      </x:c>
      <x:c r="I19" s="11" t="str">
        <x:v>skill-resume-screen</x:v>
      </x:c>
      <x:c r="J19" s="11" t="str">
        <x:v>hr</x:v>
      </x:c>
      <x:c r="K19" s="11" t="str">
        <x:v>HR</x:v>
      </x:c>
      <x:c r="L19" s="28" t="str"/>
      <x:c r="M19" s="28" t="str"/>
      <x:c r="N19" s="11" t="str">
        <x:v>招聘、HR、面试、简历、JD</x:v>
      </x:c>
      <x:c r="O19" s="11" t="str"/>
      <x:c r="P19" s="11" t="str"/>
      <x:c r="Q19" s="11" t="str"/>
      <x:c r="R19" s="28" t="str">
        <x:v>{"id":"agent-hr-resume","name":"简历筛选 Agent","desc":"【流程提效】JD 解析 + 简历筛选 + 面试分析三 Agent 协同，面向 HR/用人部门（可对话编排 Skill）","category":"process","bizLine":"HR","homeTag":"hr","ownerDeptIds":["hr"],"author":"华为 MSS","published":true,"invokes":1560,"skillIds":["skill-jd-parser","skill-resume-screen","skill-interview-analysis"],"chatId":"knowledge","icon":"fa-user-check","color":"from-stone-600 to-zinc-800","scenarioTags":["招聘","HR","面试","简历","JD"],"systemPrompt":"你是招聘协同专家。编排：JD 解析 → 简历筛选 → 面试分析。辅助决策，非录用决定。","primarySkillId":"skill-resume-screen","demoPrompt":"@简历筛选 Agent /简历筛选 请基于演示样例完成人岗匹配，并说明与 JD 解析、面试分析的衔接要点。","planSteps":["对齐 JD 关键要求（/jd解析）","简历匹配打分（/简历筛选）","输出面试关注清单","说明二面/面试分析衔接"],"businessScenarioId":"S7","updatedAt":"2026-06-06"}</x:v>
      </x:c>
    </x:row>
    <x:row r="20" ht="82" customHeight="1">
      <x:c r="A20" s="28" t="str">
        <x:v>agent-training</x:v>
      </x:c>
      <x:c r="B20" s="28" t="str">
        <x:v>培训内容 Agent</x:v>
      </x:c>
      <x:c r="C20" s="11" t="str">
        <x:v>【流程提效】Nova 新品培训内容生成，多 Agent 对抗协同与门店陪练衔接（可对话编排 Skill）</x:v>
      </x:c>
      <x:c r="D20" s="11" t="str">
        <x:v>你是培训内容专家。生成大纲/测验/演练，并可衔接门店陪练。</x:v>
      </x:c>
      <x:c r="E20" s="11" t="str">
        <x:v>@培训内容 Agent /培训内容 请基于演示样例生成 Nova 新品 45 分钟门店培训大纲，并给出一轮陪练场景要点。</x:v>
      </x:c>
      <x:c r="F20" s="11" t="str">
        <x:v>设计学习目标与大纲、生成测验与演练脚本、衔接陪练考核点、培训后跟踪建议</x:v>
      </x:c>
      <x:c r="G20" s="11" t="str">
        <x:v>skill-training-gen、skill-retail-coach、skill-doc-gen</x:v>
      </x:c>
      <x:c r="H20" s="11" t="str">
        <x:v>培训内容生成、零售 AI 陪练、文档初稿生成</x:v>
      </x:c>
      <x:c r="I20" s="11" t="str">
        <x:v>skill-training-gen</x:v>
      </x:c>
      <x:c r="J20" s="11" t="str">
        <x:v>retail</x:v>
      </x:c>
      <x:c r="K20" s="11" t="str">
        <x:v>零售</x:v>
      </x:c>
      <x:c r="L20" s="28" t="str">
        <x:v>apac</x:v>
      </x:c>
      <x:c r="M20" s="28" t="str">
        <x:v>亚太</x:v>
      </x:c>
      <x:c r="N20" s="11" t="str">
        <x:v>门店、培训</x:v>
      </x:c>
      <x:c r="O20" s="11" t="str"/>
      <x:c r="P20" s="11" t="str"/>
      <x:c r="Q20" s="11" t="str"/>
      <x:c r="R20" s="28" t="str">
        <x:v>{"id":"agent-training","name":"培训内容 Agent","desc":"【流程提效】Nova 新品培训内容生成，多 Agent 对抗协同与门店陪练衔接（可对话编排 Skill）","category":"process","bizLine":"零售/门店","homeTag":"retail","ownerDeptIds":["retail"],"ownerRegionIds":["apac"],"author":"华为 MSS","published":true,"invokes":1890,"skillIds":["skill-training-gen","skill-retail-coach","skill-doc-gen"],"chatId":"knowledge","icon":"fa-graduation-cap","color":"from-slate-600 to-zinc-700","scenarioTags":["门店","培训"],"systemPrompt":"你是培训内容专家。生成大纲/测验/演练，并可衔接门店陪练。","primarySkillId":"skill-training-gen","demoPrompt":"@培训内容 Agent /培训内容 请基于演示样例生成 Nova 新品 45 分钟门店培训大纲，并给出一轮陪练场景要点。","planSteps":["设计学习目标与大纲","生成测验与演练脚本","衔接陪练考核点","培训后跟踪建议"],"businessScenarioId":"S3","updatedAt":"2026-06-24"}</x:v>
      </x:c>
    </x:row>
    <x:row r="21" ht="82" customHeight="1">
      <x:c r="A21" s="28" t="str">
        <x:v>agent-knowledge</x:v>
      </x:c>
      <x:c r="B21" s="28" t="str">
        <x:v>知识 Agent</x:v>
      </x:c>
      <x:c r="C21" s="11" t="str">
        <x:v>【业务专家】知识问答与知识陪练：制度/SOP/案例检索问答，并可开展话术与培训陪练（编排多技能）</x:v>
      </x:c>
      <x:c r="D21" s="11" t="str">
        <x:v>你是 MSS 知识 Agent，面向业务的知识问答与知识陪练专家。编排：检索 → 重排 → SOP/话术；需要演练时衔接培训与陪练。回答必须带引用，未命中时诚实说明。</x:v>
      </x:c>
      <x:c r="E21" s="11" t="str">
        <x:v>@知识 Agent 请基于演示样例完成：1）回答「欧洲门店 DOS 过高应按什么 SOP 处理？」并给出引用；2）给出一轮相关话术陪练要点。</x:v>
      </x:c>
      <x:c r="F21" s="11" t="str">
        <x:v>澄清是知识问答还是陪练演练、分区检索与重排（/检索、/rerank）、生成带引用回答或匹配 SOP、如需陪练则给出场景脚本与评分要点</x:v>
      </x:c>
      <x:c r="G21" s="11" t="str">
        <x:v>skill-rag、skill-rerank、skill-complaint-sop、skill-retail-coach、skill-training-gen</x:v>
      </x:c>
      <x:c r="H21" s="11" t="str">
        <x:v>企业知识检索、检索重排序、客诉 SOP 匹配、零售 AI 陪练、培训内容生成</x:v>
      </x:c>
      <x:c r="I21" s="11" t="str">
        <x:v>skill-rag</x:v>
      </x:c>
      <x:c r="J21" s="11" t="str">
        <x:v>service、quality、retail、hr</x:v>
      </x:c>
      <x:c r="K21" s="11" t="str">
        <x:v>服务、质运、零售、HR</x:v>
      </x:c>
      <x:c r="L21" s="28" t="str">
        <x:v>china、apac、mea、latam、europe、eurasia</x:v>
      </x:c>
      <x:c r="M21" s="28" t="str">
        <x:v>中国区、亚太、中东非、拉美、欧洲、欧亚</x:v>
      </x:c>
      <x:c r="N21" s="11" t="str">
        <x:v>知识、归档、RAG、SOP、检索、客诉</x:v>
      </x:c>
      <x:c r="O21" s="11" t="str"/>
      <x:c r="P21" s="11" t="str"/>
      <x:c r="Q21" s="11" t="str"/>
      <x:c r="R21" s="28" t="str">
        <x:v>{"id":"agent-knowledge","name":"知识 Agent","desc":"【业务专家】知识问答与知识陪练：制度/SOP/案例检索问答，并可开展话术与培训陪练（编排多技能）","category":"experience","bizLine":"服务/质量与运营/零售","homeTag":"service","ownerDeptIds":["service","quality","retail","hr"],"ownerRegionIds":["china","apac","mea","latam","europe","eurasia"],"author":"华为 MSS","published":true,"invokes":3520,"skillIds":["skill-rag","skill-rerank","skill-complaint-sop","skill-retail-coach","skill-training-gen"],"chatId":"knowledge","icon":"fa-book-open","color":"from-zinc-600 to-zinc-800","scenarioTags":["知识","归档","RAG","SOP","检索","客诉"],"systemPrompt":"你是 MSS 知识 Agent，面向业务的知识问答与知识陪练专家。编排：检索 → 重排 → SOP/话术；需要演练时衔接培训与陪练。回答必须带引用，未命中时诚实说明。","primarySkillId":"skill-rag","demoPrompt":"@知识 Agent 请基于演示样例完成：1）回答「欧洲门店 DOS 过高应按什么 SOP 处理？」并给出引用；2）给出一轮相关话术陪练要点。","planSteps":["澄清是知识问答还是陪练演练","分区检索与重排（/检索、/rerank）","生成带引用回答或匹配 SOP","如需陪练则给出场景脚本与评分要点"],"businessScenarioId":"S6","updatedAt":"2026-08-01"}</x:v>
      </x:c>
    </x:row>
    <x:row r="22" ht="82" customHeight="1">
      <x:c r="A22" s="28" t="str">
        <x:v>agent-retail-coach</x:v>
      </x:c>
      <x:c r="B22" s="28" t="str">
        <x:v>零售陪练 Agent</x:v>
      </x:c>
      <x:c r="C22" s="11" t="str">
        <x:v>【体验提升】门店 AI 陪练、卖点演练与考核反馈，衔接培训内容 Agent（可对话编排 Skill）</x:v>
      </x:c>
      <x:c r="D22" s="11" t="str">
        <x:v>你是零售陪练专家。模拟顾客异议、评分并给金句；可衔接培训内容。</x:v>
      </x:c>
      <x:c r="E22" s="11" t="str">
        <x:v>@零售陪练 Agent /陪练 请基于演示样例开展「价格贵」异议处理陪练：脚本、评分与改进建议。</x:v>
      </x:c>
      <x:c r="F22" s="11" t="str">
        <x:v>设定场景与考核点、模拟对话并评分、输出改进与金句、建议再练与培训衔接</x:v>
      </x:c>
      <x:c r="G22" s="11" t="str">
        <x:v>skill-retail-coach、skill-training-gen、skill-wecom</x:v>
      </x:c>
      <x:c r="H22" s="11" t="str">
        <x:v>零售 AI 陪练、培训内容生成、企微消息推送</x:v>
      </x:c>
      <x:c r="I22" s="11" t="str">
        <x:v>skill-retail-coach</x:v>
      </x:c>
      <x:c r="J22" s="11" t="str">
        <x:v>retail</x:v>
      </x:c>
      <x:c r="K22" s="11" t="str">
        <x:v>零售</x:v>
      </x:c>
      <x:c r="L22" s="28" t="str">
        <x:v>apac</x:v>
      </x:c>
      <x:c r="M22" s="28" t="str">
        <x:v>亚太</x:v>
      </x:c>
      <x:c r="N22" s="11" t="str">
        <x:v>门店、培训、Nova、陪练</x:v>
      </x:c>
      <x:c r="O22" s="11" t="str"/>
      <x:c r="P22" s="11" t="str"/>
      <x:c r="Q22" s="11" t="str"/>
      <x:c r="R22" s="28" t="str">
        <x:v>{"id":"agent-retail-coach","name":"零售陪练 Agent","desc":"【体验提升】门店 AI 陪练、卖点演练与考核反馈，衔接培训内容 Agent（可对话编排 Skill）","category":"experience","bizLine":"零售/门店","homeTag":"retail","ownerDeptIds":["retail"],"ownerRegionIds":["apac"],"author":"华为 MSS","published":true,"invokes":860,"skillIds":["skill-retail-coach","skill-training-gen","skill-wecom"],"chatId":"knowledge","icon":"fa-headset","color":"from-zinc-700 to-zinc-900","scenarioTags":["门店","培训","Nova","陪练"],"systemPrompt":"你是零售陪练专家。模拟顾客异议、评分并给金句；可衔接培训内容。","primarySkillId":"skill-retail-coach","demoPrompt":"@零售陪练 Agent /陪练 请基于演示样例开展「价格贵」异议处理陪练：脚本、评分与改进建议。","planSteps":["设定场景与考核点","模拟对话并评分","输出改进与金句","建议再练与培训衔接"],"businessScenarioId":"S3","updatedAt":"2026-05-15"}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2b8826314a6743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22" hidden="0" customWidth="1"/>
    <x:col min="4" max="4" width="12" hidden="0" customWidth="1"/>
    <x:col min="5" max="5" width="25" hidden="0" customWidth="1"/>
    <x:col min="6" max="6" width="24" hidden="0" customWidth="1"/>
    <x:col min="7" max="7" width="12" hidden="0" customWidth="1"/>
    <x:col min="8" max="8" width="16" hidden="0" customWidth="1"/>
    <x:col min="9" max="9" width="24" hidden="0" customWidth="1"/>
  </x:cols>
  <x:sheetData>
    <x:row r="1" ht="28" customHeight="1">
      <x:c r="A1" s="21" t="str">
        <x:v>Agent 与 Skill 挂载关系（规范化一行一关系）</x:v>
      </x:c>
      <x:c r="B1" s="21"/>
      <x:c r="C1" s="21"/>
      <x:c r="D1" s="21"/>
      <x:c r="E1" s="21"/>
      <x:c r="F1" s="21"/>
      <x:c r="G1" s="21"/>
      <x:c r="H1" s="21"/>
      <x:c r="I1" s="21"/>
    </x:row>
    <x:row r="2" ht="32" customHeight="1">
      <x:c r="A2" s="22" t="str">
        <x:v>关系来自 marketplace agent.skillIds；顺序为源数组顺序，主 Skill 由 primarySkillId 标记。</x:v>
      </x:c>
      <x:c r="B2" s="22"/>
      <x:c r="C2" s="22"/>
      <x:c r="D2" s="22"/>
      <x:c r="E2" s="22"/>
      <x:c r="F2" s="22"/>
      <x:c r="G2" s="22"/>
      <x:c r="H2" s="22"/>
      <x:c r="I2" s="22"/>
    </x:row>
    <x:row r="4" ht="32" customHeight="1">
      <x:c r="A4" s="26" t="str">
        <x:v>序号</x:v>
      </x:c>
      <x:c r="B4" s="26" t="str">
        <x:v>Agent ID</x:v>
      </x:c>
      <x:c r="C4" s="26" t="str">
        <x:v>Agent名称</x:v>
      </x:c>
      <x:c r="D4" s="26" t="str">
        <x:v>Skill序号</x:v>
      </x:c>
      <x:c r="E4" s="26" t="str">
        <x:v>Skill ID</x:v>
      </x:c>
      <x:c r="F4" s="26" t="str">
        <x:v>Skill名称</x:v>
      </x:c>
      <x:c r="G4" s="26" t="str">
        <x:v>是否主Skill</x:v>
      </x:c>
      <x:c r="H4" s="26" t="str">
        <x:v>Skill在当前快照</x:v>
      </x:c>
      <x:c r="I4" s="26" t="str">
        <x:v>关系来源</x:v>
      </x:c>
    </x:row>
    <x:row r="5" ht="24" customHeight="1">
      <x:c r="A5" s="28" t="n">
        <x:v>1</x:v>
      </x:c>
      <x:c r="B5" s="28" t="str">
        <x:v>agent-marketing</x:v>
      </x:c>
      <x:c r="C5" s="11" t="str">
        <x:v>营销 Agent</x:v>
      </x:c>
      <x:c r="D5" s="28" t="n">
        <x:v>1</x:v>
      </x:c>
      <x:c r="E5" s="28" t="str">
        <x:v>skill-data-analysis</x:v>
      </x:c>
      <x:c r="F5" s="11" t="str">
        <x:v>多源数据分析</x:v>
      </x:c>
      <x:c r="G5" s="28" t="str">
        <x:v>是</x:v>
      </x:c>
      <x:c r="H5" s="28" t="str">
        <x:v>是</x:v>
      </x:c>
      <x:c r="I5" s="28" t="str">
        <x:v>marketplace.skillIds</x:v>
      </x:c>
    </x:row>
    <x:row r="6" ht="24" customHeight="1">
      <x:c r="A6" s="28" t="n">
        <x:v>2</x:v>
      </x:c>
      <x:c r="B6" s="28" t="str">
        <x:v>agent-marketing</x:v>
      </x:c>
      <x:c r="C6" s="11" t="str">
        <x:v>营销 Agent</x:v>
      </x:c>
      <x:c r="D6" s="28" t="n">
        <x:v>2</x:v>
      </x:c>
      <x:c r="E6" s="28" t="str">
        <x:v>skill-so-report</x:v>
      </x:c>
      <x:c r="F6" s="11" t="str">
        <x:v>SO/SI 报表</x:v>
      </x:c>
      <x:c r="G6" s="28" t="str">
        <x:v>否</x:v>
      </x:c>
      <x:c r="H6" s="28" t="str">
        <x:v>是</x:v>
      </x:c>
      <x:c r="I6" s="28" t="str">
        <x:v>marketplace.skillIds</x:v>
      </x:c>
    </x:row>
    <x:row r="7" ht="24" customHeight="1">
      <x:c r="A7" s="28" t="n">
        <x:v>3</x:v>
      </x:c>
      <x:c r="B7" s="28" t="str">
        <x:v>agent-marketing</x:v>
      </x:c>
      <x:c r="C7" s="11" t="str">
        <x:v>营销 Agent</x:v>
      </x:c>
      <x:c r="D7" s="28" t="n">
        <x:v>3</x:v>
      </x:c>
      <x:c r="E7" s="28" t="str">
        <x:v>skill-retail-insight</x:v>
      </x:c>
      <x:c r="F7" s="11" t="str">
        <x:v>零售信息洞察</x:v>
      </x:c>
      <x:c r="G7" s="28" t="str">
        <x:v>否</x:v>
      </x:c>
      <x:c r="H7" s="28" t="str">
        <x:v>是</x:v>
      </x:c>
      <x:c r="I7" s="28" t="str">
        <x:v>marketplace.skillIds</x:v>
      </x:c>
    </x:row>
    <x:row r="8" ht="24" customHeight="1">
      <x:c r="A8" s="28" t="n">
        <x:v>4</x:v>
      </x:c>
      <x:c r="B8" s="28" t="str">
        <x:v>agent-marketing</x:v>
      </x:c>
      <x:c r="C8" s="11" t="str">
        <x:v>营销 Agent</x:v>
      </x:c>
      <x:c r="D8" s="28" t="n">
        <x:v>4</x:v>
      </x:c>
      <x:c r="E8" s="28" t="str">
        <x:v>skill-price-monitor</x:v>
      </x:c>
      <x:c r="F8" s="11" t="str">
        <x:v>价格与 Offer 监测</x:v>
      </x:c>
      <x:c r="G8" s="28" t="str">
        <x:v>否</x:v>
      </x:c>
      <x:c r="H8" s="28" t="str">
        <x:v>是</x:v>
      </x:c>
      <x:c r="I8" s="28" t="str">
        <x:v>marketplace.skillIds</x:v>
      </x:c>
    </x:row>
    <x:row r="9" ht="24" customHeight="1">
      <x:c r="A9" s="28" t="n">
        <x:v>5</x:v>
      </x:c>
      <x:c r="B9" s="28" t="str">
        <x:v>agent-marketing</x:v>
      </x:c>
      <x:c r="C9" s="11" t="str">
        <x:v>营销 Agent</x:v>
      </x:c>
      <x:c r="D9" s="28" t="n">
        <x:v>5</x:v>
      </x:c>
      <x:c r="E9" s="28" t="str">
        <x:v>skill-work-summary</x:v>
      </x:c>
      <x:c r="F9" s="11" t="str">
        <x:v>个人工作总结</x:v>
      </x:c>
      <x:c r="G9" s="28" t="str">
        <x:v>否</x:v>
      </x:c>
      <x:c r="H9" s="28" t="str">
        <x:v>是</x:v>
      </x:c>
      <x:c r="I9" s="28" t="str">
        <x:v>marketplace.skillIds</x:v>
      </x:c>
    </x:row>
    <x:row r="10" ht="24" customHeight="1">
      <x:c r="A10" s="28" t="n">
        <x:v>6</x:v>
      </x:c>
      <x:c r="B10" s="28" t="str">
        <x:v>agent-data-analysis</x:v>
      </x:c>
      <x:c r="C10" s="11" t="str">
        <x:v>数据分析 Agent</x:v>
      </x:c>
      <x:c r="D10" s="28" t="n">
        <x:v>1</x:v>
      </x:c>
      <x:c r="E10" s="28" t="str">
        <x:v>skill-data-analysis</x:v>
      </x:c>
      <x:c r="F10" s="11" t="str">
        <x:v>多源数据分析</x:v>
      </x:c>
      <x:c r="G10" s="28" t="str">
        <x:v>是</x:v>
      </x:c>
      <x:c r="H10" s="28" t="str">
        <x:v>是</x:v>
      </x:c>
      <x:c r="I10" s="28" t="str">
        <x:v>marketplace.skillIds</x:v>
      </x:c>
    </x:row>
    <x:row r="11" ht="24" customHeight="1">
      <x:c r="A11" s="28" t="n">
        <x:v>7</x:v>
      </x:c>
      <x:c r="B11" s="28" t="str">
        <x:v>agent-data-analysis</x:v>
      </x:c>
      <x:c r="C11" s="11" t="str">
        <x:v>数据分析 Agent</x:v>
      </x:c>
      <x:c r="D11" s="28" t="n">
        <x:v>2</x:v>
      </x:c>
      <x:c r="E11" s="28" t="str">
        <x:v>skill-so-report</x:v>
      </x:c>
      <x:c r="F11" s="11" t="str">
        <x:v>SO/SI 报表</x:v>
      </x:c>
      <x:c r="G11" s="28" t="str">
        <x:v>否</x:v>
      </x:c>
      <x:c r="H11" s="28" t="str">
        <x:v>是</x:v>
      </x:c>
      <x:c r="I11" s="28" t="str">
        <x:v>marketplace.skillIds</x:v>
      </x:c>
    </x:row>
    <x:row r="12" ht="24" customHeight="1">
      <x:c r="A12" s="28" t="n">
        <x:v>8</x:v>
      </x:c>
      <x:c r="B12" s="28" t="str">
        <x:v>agent-data-analysis</x:v>
      </x:c>
      <x:c r="C12" s="11" t="str">
        <x:v>数据分析 Agent</x:v>
      </x:c>
      <x:c r="D12" s="28" t="n">
        <x:v>3</x:v>
      </x:c>
      <x:c r="E12" s="28" t="str">
        <x:v>skill-work-summary</x:v>
      </x:c>
      <x:c r="F12" s="11" t="str">
        <x:v>个人工作总结</x:v>
      </x:c>
      <x:c r="G12" s="28" t="str">
        <x:v>否</x:v>
      </x:c>
      <x:c r="H12" s="28" t="str">
        <x:v>是</x:v>
      </x:c>
      <x:c r="I12" s="28" t="str">
        <x:v>marketplace.skillIds</x:v>
      </x:c>
    </x:row>
    <x:row r="13" ht="24" customHeight="1">
      <x:c r="A13" s="28" t="n">
        <x:v>9</x:v>
      </x:c>
      <x:c r="B13" s="28" t="str">
        <x:v>agent-doc-review</x:v>
      </x:c>
      <x:c r="C13" s="11" t="str">
        <x:v>文档解读 Agent</x:v>
      </x:c>
      <x:c r="D13" s="28" t="n">
        <x:v>1</x:v>
      </x:c>
      <x:c r="E13" s="28" t="str">
        <x:v>skill-doc-compliance</x:v>
      </x:c>
      <x:c r="F13" s="11" t="str">
        <x:v>文档合规筛查</x:v>
      </x:c>
      <x:c r="G13" s="28" t="str">
        <x:v>是</x:v>
      </x:c>
      <x:c r="H13" s="28" t="str">
        <x:v>是</x:v>
      </x:c>
      <x:c r="I13" s="28" t="str">
        <x:v>marketplace.skillIds</x:v>
      </x:c>
    </x:row>
    <x:row r="14" ht="24" customHeight="1">
      <x:c r="A14" s="28" t="n">
        <x:v>10</x:v>
      </x:c>
      <x:c r="B14" s="28" t="str">
        <x:v>agent-doc-review</x:v>
      </x:c>
      <x:c r="C14" s="11" t="str">
        <x:v>文档解读 Agent</x:v>
      </x:c>
      <x:c r="D14" s="28" t="n">
        <x:v>2</x:v>
      </x:c>
      <x:c r="E14" s="28" t="str">
        <x:v>skill-doc-gen</x:v>
      </x:c>
      <x:c r="F14" s="11" t="str">
        <x:v>文档初稿生成</x:v>
      </x:c>
      <x:c r="G14" s="28" t="str">
        <x:v>否</x:v>
      </x:c>
      <x:c r="H14" s="28" t="str">
        <x:v>是</x:v>
      </x:c>
      <x:c r="I14" s="28" t="str">
        <x:v>marketplace.skillIds</x:v>
      </x:c>
    </x:row>
    <x:row r="15" ht="24" customHeight="1">
      <x:c r="A15" s="28" t="n">
        <x:v>11</x:v>
      </x:c>
      <x:c r="B15" s="28" t="str">
        <x:v>agent-doc-review</x:v>
      </x:c>
      <x:c r="C15" s="11" t="str">
        <x:v>文档解读 Agent</x:v>
      </x:c>
      <x:c r="D15" s="28" t="n">
        <x:v>3</x:v>
      </x:c>
      <x:c r="E15" s="28" t="str">
        <x:v>skill-doc-parser</x:v>
      </x:c>
      <x:c r="F15" s="11" t="str">
        <x:v>文档解析</x:v>
      </x:c>
      <x:c r="G15" s="28" t="str">
        <x:v>否</x:v>
      </x:c>
      <x:c r="H15" s="28" t="str">
        <x:v>是</x:v>
      </x:c>
      <x:c r="I15" s="28" t="str">
        <x:v>marketplace.skillIds</x:v>
      </x:c>
    </x:row>
    <x:row r="16" ht="24" customHeight="1">
      <x:c r="A16" s="28" t="n">
        <x:v>12</x:v>
      </x:c>
      <x:c r="B16" s="28" t="str">
        <x:v>agent-file-organize</x:v>
      </x:c>
      <x:c r="C16" s="11" t="str">
        <x:v>文件整理 Agent</x:v>
      </x:c>
      <x:c r="D16" s="28" t="n">
        <x:v>1</x:v>
      </x:c>
      <x:c r="E16" s="28" t="str">
        <x:v>skill-file-archive</x:v>
      </x:c>
      <x:c r="F16" s="11" t="str">
        <x:v>智能文件归档</x:v>
      </x:c>
      <x:c r="G16" s="28" t="str">
        <x:v>是</x:v>
      </x:c>
      <x:c r="H16" s="28" t="str">
        <x:v>是</x:v>
      </x:c>
      <x:c r="I16" s="28" t="str">
        <x:v>marketplace.skillIds</x:v>
      </x:c>
    </x:row>
    <x:row r="17" ht="24" customHeight="1">
      <x:c r="A17" s="28" t="n">
        <x:v>13</x:v>
      </x:c>
      <x:c r="B17" s="28" t="str">
        <x:v>agent-file-organize</x:v>
      </x:c>
      <x:c r="C17" s="11" t="str">
        <x:v>文件整理 Agent</x:v>
      </x:c>
      <x:c r="D17" s="28" t="n">
        <x:v>2</x:v>
      </x:c>
      <x:c r="E17" s="28" t="str">
        <x:v>skill-work-summary</x:v>
      </x:c>
      <x:c r="F17" s="11" t="str">
        <x:v>个人工作总结</x:v>
      </x:c>
      <x:c r="G17" s="28" t="str">
        <x:v>否</x:v>
      </x:c>
      <x:c r="H17" s="28" t="str">
        <x:v>是</x:v>
      </x:c>
      <x:c r="I17" s="28" t="str">
        <x:v>marketplace.skillIds</x:v>
      </x:c>
    </x:row>
    <x:row r="18" ht="24" customHeight="1">
      <x:c r="A18" s="28" t="n">
        <x:v>14</x:v>
      </x:c>
      <x:c r="B18" s="28" t="str">
        <x:v>agent-file-organize</x:v>
      </x:c>
      <x:c r="C18" s="11" t="str">
        <x:v>文件整理 Agent</x:v>
      </x:c>
      <x:c r="D18" s="28" t="n">
        <x:v>3</x:v>
      </x:c>
      <x:c r="E18" s="28" t="str">
        <x:v>skill-doc-parser</x:v>
      </x:c>
      <x:c r="F18" s="11" t="str">
        <x:v>文档解析</x:v>
      </x:c>
      <x:c r="G18" s="28" t="str">
        <x:v>否</x:v>
      </x:c>
      <x:c r="H18" s="28" t="str">
        <x:v>是</x:v>
      </x:c>
      <x:c r="I18" s="28" t="str">
        <x:v>marketplace.skillIds</x:v>
      </x:c>
    </x:row>
    <x:row r="19" ht="24" customHeight="1">
      <x:c r="A19" s="28" t="n">
        <x:v>15</x:v>
      </x:c>
      <x:c r="B19" s="28" t="str">
        <x:v>agent-ppt</x:v>
      </x:c>
      <x:c r="C19" s="11" t="str">
        <x:v>PPT 生成 Agent</x:v>
      </x:c>
      <x:c r="D19" s="28" t="n">
        <x:v>1</x:v>
      </x:c>
      <x:c r="E19" s="28" t="str">
        <x:v>skill-ppt-gen</x:v>
      </x:c>
      <x:c r="F19" s="11" t="str">
        <x:v>PPT 自动生成</x:v>
      </x:c>
      <x:c r="G19" s="28" t="str">
        <x:v>是</x:v>
      </x:c>
      <x:c r="H19" s="28" t="str">
        <x:v>是</x:v>
      </x:c>
      <x:c r="I19" s="28" t="str">
        <x:v>marketplace.skillIds</x:v>
      </x:c>
    </x:row>
    <x:row r="20" ht="24" customHeight="1">
      <x:c r="A20" s="28" t="n">
        <x:v>16</x:v>
      </x:c>
      <x:c r="B20" s="28" t="str">
        <x:v>agent-ppt</x:v>
      </x:c>
      <x:c r="C20" s="11" t="str">
        <x:v>PPT 生成 Agent</x:v>
      </x:c>
      <x:c r="D20" s="28" t="n">
        <x:v>2</x:v>
      </x:c>
      <x:c r="E20" s="28" t="str">
        <x:v>skill-data-analysis</x:v>
      </x:c>
      <x:c r="F20" s="11" t="str">
        <x:v>多源数据分析</x:v>
      </x:c>
      <x:c r="G20" s="28" t="str">
        <x:v>否</x:v>
      </x:c>
      <x:c r="H20" s="28" t="str">
        <x:v>是</x:v>
      </x:c>
      <x:c r="I20" s="28" t="str">
        <x:v>marketplace.skillIds</x:v>
      </x:c>
    </x:row>
    <x:row r="21" ht="24" customHeight="1">
      <x:c r="A21" s="28" t="n">
        <x:v>17</x:v>
      </x:c>
      <x:c r="B21" s="28" t="str">
        <x:v>agent-ppt</x:v>
      </x:c>
      <x:c r="C21" s="11" t="str">
        <x:v>PPT 生成 Agent</x:v>
      </x:c>
      <x:c r="D21" s="28" t="n">
        <x:v>3</x:v>
      </x:c>
      <x:c r="E21" s="28" t="str">
        <x:v>skill-doc-gen</x:v>
      </x:c>
      <x:c r="F21" s="11" t="str">
        <x:v>文档初稿生成</x:v>
      </x:c>
      <x:c r="G21" s="28" t="str">
        <x:v>否</x:v>
      </x:c>
      <x:c r="H21" s="28" t="str">
        <x:v>是</x:v>
      </x:c>
      <x:c r="I21" s="28" t="str">
        <x:v>marketplace.skillIds</x:v>
      </x:c>
    </x:row>
    <x:row r="22" ht="24" customHeight="1">
      <x:c r="A22" s="28" t="n">
        <x:v>18</x:v>
      </x:c>
      <x:c r="B22" s="28" t="str">
        <x:v>agent-meeting</x:v>
      </x:c>
      <x:c r="C22" s="11" t="str">
        <x:v>会议纪要 Agent</x:v>
      </x:c>
      <x:c r="D22" s="28" t="n">
        <x:v>1</x:v>
      </x:c>
      <x:c r="E22" s="28" t="str">
        <x:v>skill-meeting-minutes</x:v>
      </x:c>
      <x:c r="F22" s="11" t="str">
        <x:v>会议纪要生成</x:v>
      </x:c>
      <x:c r="G22" s="28" t="str">
        <x:v>是</x:v>
      </x:c>
      <x:c r="H22" s="28" t="str">
        <x:v>是</x:v>
      </x:c>
      <x:c r="I22" s="28" t="str">
        <x:v>marketplace.skillIds</x:v>
      </x:c>
    </x:row>
    <x:row r="23" ht="24" customHeight="1">
      <x:c r="A23" s="28" t="n">
        <x:v>19</x:v>
      </x:c>
      <x:c r="B23" s="28" t="str">
        <x:v>agent-meeting</x:v>
      </x:c>
      <x:c r="C23" s="11" t="str">
        <x:v>会议纪要 Agent</x:v>
      </x:c>
      <x:c r="D23" s="28" t="n">
        <x:v>2</x:v>
      </x:c>
      <x:c r="E23" s="28" t="str">
        <x:v>skill-doc-gen</x:v>
      </x:c>
      <x:c r="F23" s="11" t="str">
        <x:v>文档初稿生成</x:v>
      </x:c>
      <x:c r="G23" s="28" t="str">
        <x:v>否</x:v>
      </x:c>
      <x:c r="H23" s="28" t="str">
        <x:v>是</x:v>
      </x:c>
      <x:c r="I23" s="28" t="str">
        <x:v>marketplace.skillIds</x:v>
      </x:c>
    </x:row>
    <x:row r="24" ht="24" customHeight="1">
      <x:c r="A24" s="28" t="n">
        <x:v>20</x:v>
      </x:c>
      <x:c r="B24" s="28" t="str">
        <x:v>agent-meeting</x:v>
      </x:c>
      <x:c r="C24" s="11" t="str">
        <x:v>会议纪要 Agent</x:v>
      </x:c>
      <x:c r="D24" s="28" t="n">
        <x:v>3</x:v>
      </x:c>
      <x:c r="E24" s="28" t="str">
        <x:v>skill-wecom</x:v>
      </x:c>
      <x:c r="F24" s="11" t="str">
        <x:v>企微消息推送</x:v>
      </x:c>
      <x:c r="G24" s="28" t="str">
        <x:v>否</x:v>
      </x:c>
      <x:c r="H24" s="28" t="str">
        <x:v>是</x:v>
      </x:c>
      <x:c r="I24" s="28" t="str">
        <x:v>marketplace.skillIds</x:v>
      </x:c>
    </x:row>
    <x:row r="25" ht="24" customHeight="1">
      <x:c r="A25" s="28" t="n">
        <x:v>21</x:v>
      </x:c>
      <x:c r="B25" s="28" t="str">
        <x:v>agent-launch-sentiment</x:v>
      </x:c>
      <x:c r="C25" s="11" t="str">
        <x:v>舆情快报 Agent</x:v>
      </x:c>
      <x:c r="D25" s="28" t="n">
        <x:v>1</x:v>
      </x:c>
      <x:c r="E25" s="28" t="str">
        <x:v>skill-launch-sentiment</x:v>
      </x:c>
      <x:c r="F25" s="11" t="str">
        <x:v>发布会舆情快报</x:v>
      </x:c>
      <x:c r="G25" s="28" t="str">
        <x:v>是</x:v>
      </x:c>
      <x:c r="H25" s="28" t="str">
        <x:v>是</x:v>
      </x:c>
      <x:c r="I25" s="28" t="str">
        <x:v>marketplace.skillIds</x:v>
      </x:c>
    </x:row>
    <x:row r="26" ht="24" customHeight="1">
      <x:c r="A26" s="28" t="n">
        <x:v>22</x:v>
      </x:c>
      <x:c r="B26" s="28" t="str">
        <x:v>agent-launch-sentiment</x:v>
      </x:c>
      <x:c r="C26" s="11" t="str">
        <x:v>舆情快报 Agent</x:v>
      </x:c>
      <x:c r="D26" s="28" t="n">
        <x:v>2</x:v>
      </x:c>
      <x:c r="E26" s="28" t="str">
        <x:v>skill-doc-gen</x:v>
      </x:c>
      <x:c r="F26" s="11" t="str">
        <x:v>文档初稿生成</x:v>
      </x:c>
      <x:c r="G26" s="28" t="str">
        <x:v>否</x:v>
      </x:c>
      <x:c r="H26" s="28" t="str">
        <x:v>是</x:v>
      </x:c>
      <x:c r="I26" s="28" t="str">
        <x:v>marketplace.skillIds</x:v>
      </x:c>
    </x:row>
    <x:row r="27" ht="24" customHeight="1">
      <x:c r="A27" s="28" t="n">
        <x:v>23</x:v>
      </x:c>
      <x:c r="B27" s="28" t="str">
        <x:v>agent-launch-sentiment</x:v>
      </x:c>
      <x:c r="C27" s="11" t="str">
        <x:v>舆情快报 Agent</x:v>
      </x:c>
      <x:c r="D27" s="28" t="n">
        <x:v>3</x:v>
      </x:c>
      <x:c r="E27" s="28" t="str">
        <x:v>skill-wecom</x:v>
      </x:c>
      <x:c r="F27" s="11" t="str">
        <x:v>企微消息推送</x:v>
      </x:c>
      <x:c r="G27" s="28" t="str">
        <x:v>否</x:v>
      </x:c>
      <x:c r="H27" s="28" t="str">
        <x:v>是</x:v>
      </x:c>
      <x:c r="I27" s="28" t="str">
        <x:v>marketplace.skillIds</x:v>
      </x:c>
    </x:row>
    <x:row r="28" ht="24" customHeight="1">
      <x:c r="A28" s="28" t="n">
        <x:v>24</x:v>
      </x:c>
      <x:c r="B28" s="28" t="str">
        <x:v>agent-survey</x:v>
      </x:c>
      <x:c r="C28" s="11" t="str">
        <x:v>问卷洞察 Agent</x:v>
      </x:c>
      <x:c r="D28" s="28" t="n">
        <x:v>1</x:v>
      </x:c>
      <x:c r="E28" s="28" t="str">
        <x:v>skill-survey-insight</x:v>
      </x:c>
      <x:c r="F28" s="11" t="str">
        <x:v>问卷洞察分析</x:v>
      </x:c>
      <x:c r="G28" s="28" t="str">
        <x:v>是</x:v>
      </x:c>
      <x:c r="H28" s="28" t="str">
        <x:v>是</x:v>
      </x:c>
      <x:c r="I28" s="28" t="str">
        <x:v>marketplace.skillIds</x:v>
      </x:c>
    </x:row>
    <x:row r="29" ht="24" customHeight="1">
      <x:c r="A29" s="28" t="n">
        <x:v>25</x:v>
      </x:c>
      <x:c r="B29" s="28" t="str">
        <x:v>agent-survey</x:v>
      </x:c>
      <x:c r="C29" s="11" t="str">
        <x:v>问卷洞察 Agent</x:v>
      </x:c>
      <x:c r="D29" s="28" t="n">
        <x:v>2</x:v>
      </x:c>
      <x:c r="E29" s="28" t="str">
        <x:v>skill-data-analysis</x:v>
      </x:c>
      <x:c r="F29" s="11" t="str">
        <x:v>多源数据分析</x:v>
      </x:c>
      <x:c r="G29" s="28" t="str">
        <x:v>否</x:v>
      </x:c>
      <x:c r="H29" s="28" t="str">
        <x:v>是</x:v>
      </x:c>
      <x:c r="I29" s="28" t="str">
        <x:v>marketplace.skillIds</x:v>
      </x:c>
    </x:row>
    <x:row r="30" ht="24" customHeight="1">
      <x:c r="A30" s="28" t="n">
        <x:v>26</x:v>
      </x:c>
      <x:c r="B30" s="28" t="str">
        <x:v>agent-survey</x:v>
      </x:c>
      <x:c r="C30" s="11" t="str">
        <x:v>问卷洞察 Agent</x:v>
      </x:c>
      <x:c r="D30" s="28" t="n">
        <x:v>3</x:v>
      </x:c>
      <x:c r="E30" s="28" t="str">
        <x:v>skill-doc-gen</x:v>
      </x:c>
      <x:c r="F30" s="11" t="str">
        <x:v>文档初稿生成</x:v>
      </x:c>
      <x:c r="G30" s="28" t="str">
        <x:v>否</x:v>
      </x:c>
      <x:c r="H30" s="28" t="str">
        <x:v>是</x:v>
      </x:c>
      <x:c r="I30" s="28" t="str">
        <x:v>marketplace.skillIds</x:v>
      </x:c>
    </x:row>
    <x:row r="31" ht="24" customHeight="1">
      <x:c r="A31" s="28" t="n">
        <x:v>27</x:v>
      </x:c>
      <x:c r="B31" s="28" t="str">
        <x:v>agent-review-collect</x:v>
      </x:c>
      <x:c r="C31" s="11" t="str">
        <x:v>评分采集 Agent</x:v>
      </x:c>
      <x:c r="D31" s="28" t="n">
        <x:v>1</x:v>
      </x:c>
      <x:c r="E31" s="28" t="str">
        <x:v>skill-review-collect</x:v>
      </x:c>
      <x:c r="F31" s="11" t="str">
        <x:v>评分采集</x:v>
      </x:c>
      <x:c r="G31" s="28" t="str">
        <x:v>是</x:v>
      </x:c>
      <x:c r="H31" s="28" t="str">
        <x:v>是</x:v>
      </x:c>
      <x:c r="I31" s="28" t="str">
        <x:v>marketplace.skillIds</x:v>
      </x:c>
    </x:row>
    <x:row r="32" ht="24" customHeight="1">
      <x:c r="A32" s="28" t="n">
        <x:v>28</x:v>
      </x:c>
      <x:c r="B32" s="28" t="str">
        <x:v>agent-review-collect</x:v>
      </x:c>
      <x:c r="C32" s="11" t="str">
        <x:v>评分采集 Agent</x:v>
      </x:c>
      <x:c r="D32" s="28" t="n">
        <x:v>2</x:v>
      </x:c>
      <x:c r="E32" s="28" t="str">
        <x:v>skill-review-translate</x:v>
      </x:c>
      <x:c r="F32" s="11" t="str">
        <x:v>评论语种翻译</x:v>
      </x:c>
      <x:c r="G32" s="28" t="str">
        <x:v>否</x:v>
      </x:c>
      <x:c r="H32" s="28" t="str">
        <x:v>是</x:v>
      </x:c>
      <x:c r="I32" s="28" t="str">
        <x:v>marketplace.skillIds</x:v>
      </x:c>
    </x:row>
    <x:row r="33" ht="24" customHeight="1">
      <x:c r="A33" s="28" t="n">
        <x:v>29</x:v>
      </x:c>
      <x:c r="B33" s="28" t="str">
        <x:v>agent-review-collect</x:v>
      </x:c>
      <x:c r="C33" s="11" t="str">
        <x:v>评分采集 Agent</x:v>
      </x:c>
      <x:c r="D33" s="28" t="n">
        <x:v>3</x:v>
      </x:c>
      <x:c r="E33" s="28" t="str">
        <x:v>skill-data-analysis</x:v>
      </x:c>
      <x:c r="F33" s="11" t="str">
        <x:v>多源数据分析</x:v>
      </x:c>
      <x:c r="G33" s="28" t="str">
        <x:v>否</x:v>
      </x:c>
      <x:c r="H33" s="28" t="str">
        <x:v>是</x:v>
      </x:c>
      <x:c r="I33" s="28" t="str">
        <x:v>marketplace.skillIds</x:v>
      </x:c>
    </x:row>
    <x:row r="34" ht="24" customHeight="1">
      <x:c r="A34" s="28" t="n">
        <x:v>30</x:v>
      </x:c>
      <x:c r="B34" s="28" t="str">
        <x:v>agent-review-translate</x:v>
      </x:c>
      <x:c r="C34" s="11" t="str">
        <x:v>语种翻译 Agent</x:v>
      </x:c>
      <x:c r="D34" s="28" t="n">
        <x:v>1</x:v>
      </x:c>
      <x:c r="E34" s="28" t="str">
        <x:v>skill-review-translate</x:v>
      </x:c>
      <x:c r="F34" s="11" t="str">
        <x:v>评论语种翻译</x:v>
      </x:c>
      <x:c r="G34" s="28" t="str">
        <x:v>是</x:v>
      </x:c>
      <x:c r="H34" s="28" t="str">
        <x:v>是</x:v>
      </x:c>
      <x:c r="I34" s="28" t="str">
        <x:v>marketplace.skillIds</x:v>
      </x:c>
    </x:row>
    <x:row r="35" ht="24" customHeight="1">
      <x:c r="A35" s="28" t="n">
        <x:v>31</x:v>
      </x:c>
      <x:c r="B35" s="28" t="str">
        <x:v>agent-review-translate</x:v>
      </x:c>
      <x:c r="C35" s="11" t="str">
        <x:v>语种翻译 Agent</x:v>
      </x:c>
      <x:c r="D35" s="28" t="n">
        <x:v>2</x:v>
      </x:c>
      <x:c r="E35" s="28" t="str">
        <x:v>skill-review-cluster</x:v>
      </x:c>
      <x:c r="F35" s="11" t="str">
        <x:v>订单评论分析</x:v>
      </x:c>
      <x:c r="G35" s="28" t="str">
        <x:v>否</x:v>
      </x:c>
      <x:c r="H35" s="28" t="str">
        <x:v>是</x:v>
      </x:c>
      <x:c r="I35" s="28" t="str">
        <x:v>marketplace.skillIds</x:v>
      </x:c>
    </x:row>
    <x:row r="36" ht="24" customHeight="1">
      <x:c r="A36" s="28" t="n">
        <x:v>32</x:v>
      </x:c>
      <x:c r="B36" s="28" t="str">
        <x:v>agent-review-translate</x:v>
      </x:c>
      <x:c r="C36" s="11" t="str">
        <x:v>语种翻译 Agent</x:v>
      </x:c>
      <x:c r="D36" s="28" t="n">
        <x:v>3</x:v>
      </x:c>
      <x:c r="E36" s="28" t="str">
        <x:v>skill-doc-gen</x:v>
      </x:c>
      <x:c r="F36" s="11" t="str">
        <x:v>文档初稿生成</x:v>
      </x:c>
      <x:c r="G36" s="28" t="str">
        <x:v>否</x:v>
      </x:c>
      <x:c r="H36" s="28" t="str">
        <x:v>是</x:v>
      </x:c>
      <x:c r="I36" s="28" t="str">
        <x:v>marketplace.skillIds</x:v>
      </x:c>
    </x:row>
    <x:row r="37" ht="24" customHeight="1">
      <x:c r="A37" s="28" t="n">
        <x:v>33</x:v>
      </x:c>
      <x:c r="B37" s="28" t="str">
        <x:v>agent-review</x:v>
      </x:c>
      <x:c r="C37" s="11" t="str">
        <x:v>评论分析 Agent</x:v>
      </x:c>
      <x:c r="D37" s="28" t="n">
        <x:v>1</x:v>
      </x:c>
      <x:c r="E37" s="28" t="str">
        <x:v>skill-review-cluster</x:v>
      </x:c>
      <x:c r="F37" s="11" t="str">
        <x:v>订单评论分析</x:v>
      </x:c>
      <x:c r="G37" s="28" t="str">
        <x:v>是</x:v>
      </x:c>
      <x:c r="H37" s="28" t="str">
        <x:v>是</x:v>
      </x:c>
      <x:c r="I37" s="28" t="str">
        <x:v>marketplace.skillIds</x:v>
      </x:c>
    </x:row>
    <x:row r="38" ht="24" customHeight="1">
      <x:c r="A38" s="28" t="n">
        <x:v>34</x:v>
      </x:c>
      <x:c r="B38" s="28" t="str">
        <x:v>agent-review</x:v>
      </x:c>
      <x:c r="C38" s="11" t="str">
        <x:v>评论分析 Agent</x:v>
      </x:c>
      <x:c r="D38" s="28" t="n">
        <x:v>2</x:v>
      </x:c>
      <x:c r="E38" s="28" t="str">
        <x:v>skill-data-analysis</x:v>
      </x:c>
      <x:c r="F38" s="11" t="str">
        <x:v>多源数据分析</x:v>
      </x:c>
      <x:c r="G38" s="28" t="str">
        <x:v>否</x:v>
      </x:c>
      <x:c r="H38" s="28" t="str">
        <x:v>是</x:v>
      </x:c>
      <x:c r="I38" s="28" t="str">
        <x:v>marketplace.skillIds</x:v>
      </x:c>
    </x:row>
    <x:row r="39" ht="24" customHeight="1">
      <x:c r="A39" s="28" t="n">
        <x:v>35</x:v>
      </x:c>
      <x:c r="B39" s="28" t="str">
        <x:v>agent-review</x:v>
      </x:c>
      <x:c r="C39" s="11" t="str">
        <x:v>评论分析 Agent</x:v>
      </x:c>
      <x:c r="D39" s="28" t="n">
        <x:v>3</x:v>
      </x:c>
      <x:c r="E39" s="28" t="str">
        <x:v>skill-doc-gen</x:v>
      </x:c>
      <x:c r="F39" s="11" t="str">
        <x:v>文档初稿生成</x:v>
      </x:c>
      <x:c r="G39" s="28" t="str">
        <x:v>否</x:v>
      </x:c>
      <x:c r="H39" s="28" t="str">
        <x:v>是</x:v>
      </x:c>
      <x:c r="I39" s="28" t="str">
        <x:v>marketplace.skillIds</x:v>
      </x:c>
    </x:row>
    <x:row r="40" ht="24" customHeight="1">
      <x:c r="A40" s="28" t="n">
        <x:v>36</x:v>
      </x:c>
      <x:c r="B40" s="28" t="str">
        <x:v>agent-retail-insight</x:v>
      </x:c>
      <x:c r="C40" s="11" t="str">
        <x:v>零售洞察 Agent</x:v>
      </x:c>
      <x:c r="D40" s="28" t="n">
        <x:v>1</x:v>
      </x:c>
      <x:c r="E40" s="28" t="str">
        <x:v>skill-retail-insight</x:v>
      </x:c>
      <x:c r="F40" s="11" t="str">
        <x:v>零售信息洞察</x:v>
      </x:c>
      <x:c r="G40" s="28" t="str">
        <x:v>是</x:v>
      </x:c>
      <x:c r="H40" s="28" t="str">
        <x:v>是</x:v>
      </x:c>
      <x:c r="I40" s="28" t="str">
        <x:v>marketplace.skillIds</x:v>
      </x:c>
    </x:row>
    <x:row r="41" ht="24" customHeight="1">
      <x:c r="A41" s="28" t="n">
        <x:v>37</x:v>
      </x:c>
      <x:c r="B41" s="28" t="str">
        <x:v>agent-retail-insight</x:v>
      </x:c>
      <x:c r="C41" s="11" t="str">
        <x:v>零售洞察 Agent</x:v>
      </x:c>
      <x:c r="D41" s="28" t="n">
        <x:v>2</x:v>
      </x:c>
      <x:c r="E41" s="28" t="str">
        <x:v>skill-so-report</x:v>
      </x:c>
      <x:c r="F41" s="11" t="str">
        <x:v>SO/SI 报表</x:v>
      </x:c>
      <x:c r="G41" s="28" t="str">
        <x:v>否</x:v>
      </x:c>
      <x:c r="H41" s="28" t="str">
        <x:v>是</x:v>
      </x:c>
      <x:c r="I41" s="28" t="str">
        <x:v>marketplace.skillIds</x:v>
      </x:c>
    </x:row>
    <x:row r="42" ht="24" customHeight="1">
      <x:c r="A42" s="28" t="n">
        <x:v>38</x:v>
      </x:c>
      <x:c r="B42" s="28" t="str">
        <x:v>agent-retail-insight</x:v>
      </x:c>
      <x:c r="C42" s="11" t="str">
        <x:v>零售洞察 Agent</x:v>
      </x:c>
      <x:c r="D42" s="28" t="n">
        <x:v>3</x:v>
      </x:c>
      <x:c r="E42" s="28" t="str">
        <x:v>skill-doc-gen</x:v>
      </x:c>
      <x:c r="F42" s="11" t="str">
        <x:v>文档初稿生成</x:v>
      </x:c>
      <x:c r="G42" s="28" t="str">
        <x:v>否</x:v>
      </x:c>
      <x:c r="H42" s="28" t="str">
        <x:v>是</x:v>
      </x:c>
      <x:c r="I42" s="28" t="str">
        <x:v>marketplace.skillIds</x:v>
      </x:c>
    </x:row>
    <x:row r="43" ht="24" customHeight="1">
      <x:c r="A43" s="28" t="n">
        <x:v>39</x:v>
      </x:c>
      <x:c r="B43" s="28" t="str">
        <x:v>agent-price-monitor</x:v>
      </x:c>
      <x:c r="C43" s="11" t="str">
        <x:v>价格监测 Agent</x:v>
      </x:c>
      <x:c r="D43" s="28" t="n">
        <x:v>1</x:v>
      </x:c>
      <x:c r="E43" s="28" t="str">
        <x:v>skill-price-monitor</x:v>
      </x:c>
      <x:c r="F43" s="11" t="str">
        <x:v>价格与 Offer 监测</x:v>
      </x:c>
      <x:c r="G43" s="28" t="str">
        <x:v>是</x:v>
      </x:c>
      <x:c r="H43" s="28" t="str">
        <x:v>是</x:v>
      </x:c>
      <x:c r="I43" s="28" t="str">
        <x:v>marketplace.skillIds</x:v>
      </x:c>
    </x:row>
    <x:row r="44" ht="24" customHeight="1">
      <x:c r="A44" s="28" t="n">
        <x:v>40</x:v>
      </x:c>
      <x:c r="B44" s="28" t="str">
        <x:v>agent-price-monitor</x:v>
      </x:c>
      <x:c r="C44" s="11" t="str">
        <x:v>价格监测 Agent</x:v>
      </x:c>
      <x:c r="D44" s="28" t="n">
        <x:v>2</x:v>
      </x:c>
      <x:c r="E44" s="28" t="str">
        <x:v>skill-data-analysis</x:v>
      </x:c>
      <x:c r="F44" s="11" t="str">
        <x:v>多源数据分析</x:v>
      </x:c>
      <x:c r="G44" s="28" t="str">
        <x:v>否</x:v>
      </x:c>
      <x:c r="H44" s="28" t="str">
        <x:v>是</x:v>
      </x:c>
      <x:c r="I44" s="28" t="str">
        <x:v>marketplace.skillIds</x:v>
      </x:c>
    </x:row>
    <x:row r="45" ht="24" customHeight="1">
      <x:c r="A45" s="28" t="n">
        <x:v>41</x:v>
      </x:c>
      <x:c r="B45" s="28" t="str">
        <x:v>agent-price-monitor</x:v>
      </x:c>
      <x:c r="C45" s="11" t="str">
        <x:v>价格监测 Agent</x:v>
      </x:c>
      <x:c r="D45" s="28" t="n">
        <x:v>3</x:v>
      </x:c>
      <x:c r="E45" s="28" t="str">
        <x:v>skill-wecom</x:v>
      </x:c>
      <x:c r="F45" s="11" t="str">
        <x:v>企微消息推送</x:v>
      </x:c>
      <x:c r="G45" s="28" t="str">
        <x:v>否</x:v>
      </x:c>
      <x:c r="H45" s="28" t="str">
        <x:v>是</x:v>
      </x:c>
      <x:c r="I45" s="28" t="str">
        <x:v>marketplace.skillIds</x:v>
      </x:c>
    </x:row>
    <x:row r="46" ht="24" customHeight="1">
      <x:c r="A46" s="28" t="n">
        <x:v>42</x:v>
      </x:c>
      <x:c r="B46" s="28" t="str">
        <x:v>agent-hr-resume</x:v>
      </x:c>
      <x:c r="C46" s="11" t="str">
        <x:v>简历筛选 Agent</x:v>
      </x:c>
      <x:c r="D46" s="28" t="n">
        <x:v>1</x:v>
      </x:c>
      <x:c r="E46" s="28" t="str">
        <x:v>skill-jd-parser</x:v>
      </x:c>
      <x:c r="F46" s="11" t="str">
        <x:v>JD 解析</x:v>
      </x:c>
      <x:c r="G46" s="28" t="str">
        <x:v>否</x:v>
      </x:c>
      <x:c r="H46" s="28" t="str">
        <x:v>是</x:v>
      </x:c>
      <x:c r="I46" s="28" t="str">
        <x:v>marketplace.skillIds</x:v>
      </x:c>
    </x:row>
    <x:row r="47" ht="24" customHeight="1">
      <x:c r="A47" s="28" t="n">
        <x:v>43</x:v>
      </x:c>
      <x:c r="B47" s="28" t="str">
        <x:v>agent-hr-resume</x:v>
      </x:c>
      <x:c r="C47" s="11" t="str">
        <x:v>简历筛选 Agent</x:v>
      </x:c>
      <x:c r="D47" s="28" t="n">
        <x:v>2</x:v>
      </x:c>
      <x:c r="E47" s="28" t="str">
        <x:v>skill-resume-screen</x:v>
      </x:c>
      <x:c r="F47" s="11" t="str">
        <x:v>简历筛选</x:v>
      </x:c>
      <x:c r="G47" s="28" t="str">
        <x:v>是</x:v>
      </x:c>
      <x:c r="H47" s="28" t="str">
        <x:v>是</x:v>
      </x:c>
      <x:c r="I47" s="28" t="str">
        <x:v>marketplace.skillIds</x:v>
      </x:c>
    </x:row>
    <x:row r="48" ht="24" customHeight="1">
      <x:c r="A48" s="28" t="n">
        <x:v>44</x:v>
      </x:c>
      <x:c r="B48" s="28" t="str">
        <x:v>agent-hr-resume</x:v>
      </x:c>
      <x:c r="C48" s="11" t="str">
        <x:v>简历筛选 Agent</x:v>
      </x:c>
      <x:c r="D48" s="28" t="n">
        <x:v>3</x:v>
      </x:c>
      <x:c r="E48" s="28" t="str">
        <x:v>skill-interview-analysis</x:v>
      </x:c>
      <x:c r="F48" s="11" t="str">
        <x:v>面试分析</x:v>
      </x:c>
      <x:c r="G48" s="28" t="str">
        <x:v>否</x:v>
      </x:c>
      <x:c r="H48" s="28" t="str">
        <x:v>是</x:v>
      </x:c>
      <x:c r="I48" s="28" t="str">
        <x:v>marketplace.skillIds</x:v>
      </x:c>
    </x:row>
    <x:row r="49" ht="24" customHeight="1">
      <x:c r="A49" s="28" t="n">
        <x:v>45</x:v>
      </x:c>
      <x:c r="B49" s="28" t="str">
        <x:v>agent-training</x:v>
      </x:c>
      <x:c r="C49" s="11" t="str">
        <x:v>培训内容 Agent</x:v>
      </x:c>
      <x:c r="D49" s="28" t="n">
        <x:v>1</x:v>
      </x:c>
      <x:c r="E49" s="28" t="str">
        <x:v>skill-training-gen</x:v>
      </x:c>
      <x:c r="F49" s="11" t="str">
        <x:v>培训内容生成</x:v>
      </x:c>
      <x:c r="G49" s="28" t="str">
        <x:v>是</x:v>
      </x:c>
      <x:c r="H49" s="28" t="str">
        <x:v>是</x:v>
      </x:c>
      <x:c r="I49" s="28" t="str">
        <x:v>marketplace.skillIds</x:v>
      </x:c>
    </x:row>
    <x:row r="50" ht="24" customHeight="1">
      <x:c r="A50" s="28" t="n">
        <x:v>46</x:v>
      </x:c>
      <x:c r="B50" s="28" t="str">
        <x:v>agent-training</x:v>
      </x:c>
      <x:c r="C50" s="11" t="str">
        <x:v>培训内容 Agent</x:v>
      </x:c>
      <x:c r="D50" s="28" t="n">
        <x:v>2</x:v>
      </x:c>
      <x:c r="E50" s="28" t="str">
        <x:v>skill-retail-coach</x:v>
      </x:c>
      <x:c r="F50" s="11" t="str">
        <x:v>零售 AI 陪练</x:v>
      </x:c>
      <x:c r="G50" s="28" t="str">
        <x:v>否</x:v>
      </x:c>
      <x:c r="H50" s="28" t="str">
        <x:v>是</x:v>
      </x:c>
      <x:c r="I50" s="28" t="str">
        <x:v>marketplace.skillIds</x:v>
      </x:c>
    </x:row>
    <x:row r="51" ht="24" customHeight="1">
      <x:c r="A51" s="28" t="n">
        <x:v>47</x:v>
      </x:c>
      <x:c r="B51" s="28" t="str">
        <x:v>agent-training</x:v>
      </x:c>
      <x:c r="C51" s="11" t="str">
        <x:v>培训内容 Agent</x:v>
      </x:c>
      <x:c r="D51" s="28" t="n">
        <x:v>3</x:v>
      </x:c>
      <x:c r="E51" s="28" t="str">
        <x:v>skill-doc-gen</x:v>
      </x:c>
      <x:c r="F51" s="11" t="str">
        <x:v>文档初稿生成</x:v>
      </x:c>
      <x:c r="G51" s="28" t="str">
        <x:v>否</x:v>
      </x:c>
      <x:c r="H51" s="28" t="str">
        <x:v>是</x:v>
      </x:c>
      <x:c r="I51" s="28" t="str">
        <x:v>marketplace.skillIds</x:v>
      </x:c>
    </x:row>
    <x:row r="52" ht="24" customHeight="1">
      <x:c r="A52" s="28" t="n">
        <x:v>48</x:v>
      </x:c>
      <x:c r="B52" s="28" t="str">
        <x:v>agent-knowledge</x:v>
      </x:c>
      <x:c r="C52" s="11" t="str">
        <x:v>知识 Agent</x:v>
      </x:c>
      <x:c r="D52" s="28" t="n">
        <x:v>1</x:v>
      </x:c>
      <x:c r="E52" s="28" t="str">
        <x:v>skill-rag</x:v>
      </x:c>
      <x:c r="F52" s="11" t="str">
        <x:v>企业知识检索</x:v>
      </x:c>
      <x:c r="G52" s="28" t="str">
        <x:v>是</x:v>
      </x:c>
      <x:c r="H52" s="28" t="str">
        <x:v>是</x:v>
      </x:c>
      <x:c r="I52" s="28" t="str">
        <x:v>marketplace.skillIds</x:v>
      </x:c>
    </x:row>
    <x:row r="53" ht="24" customHeight="1">
      <x:c r="A53" s="28" t="n">
        <x:v>49</x:v>
      </x:c>
      <x:c r="B53" s="28" t="str">
        <x:v>agent-knowledge</x:v>
      </x:c>
      <x:c r="C53" s="11" t="str">
        <x:v>知识 Agent</x:v>
      </x:c>
      <x:c r="D53" s="28" t="n">
        <x:v>2</x:v>
      </x:c>
      <x:c r="E53" s="28" t="str">
        <x:v>skill-rerank</x:v>
      </x:c>
      <x:c r="F53" s="11" t="str">
        <x:v>检索重排序</x:v>
      </x:c>
      <x:c r="G53" s="28" t="str">
        <x:v>否</x:v>
      </x:c>
      <x:c r="H53" s="28" t="str">
        <x:v>是</x:v>
      </x:c>
      <x:c r="I53" s="28" t="str">
        <x:v>marketplace.skillIds</x:v>
      </x:c>
    </x:row>
    <x:row r="54" ht="24" customHeight="1">
      <x:c r="A54" s="28" t="n">
        <x:v>50</x:v>
      </x:c>
      <x:c r="B54" s="28" t="str">
        <x:v>agent-knowledge</x:v>
      </x:c>
      <x:c r="C54" s="11" t="str">
        <x:v>知识 Agent</x:v>
      </x:c>
      <x:c r="D54" s="28" t="n">
        <x:v>3</x:v>
      </x:c>
      <x:c r="E54" s="28" t="str">
        <x:v>skill-complaint-sop</x:v>
      </x:c>
      <x:c r="F54" s="11" t="str">
        <x:v>客诉 SOP 匹配</x:v>
      </x:c>
      <x:c r="G54" s="28" t="str">
        <x:v>否</x:v>
      </x:c>
      <x:c r="H54" s="28" t="str">
        <x:v>是</x:v>
      </x:c>
      <x:c r="I54" s="28" t="str">
        <x:v>marketplace.skillIds</x:v>
      </x:c>
    </x:row>
    <x:row r="55" ht="24" customHeight="1">
      <x:c r="A55" s="28" t="n">
        <x:v>51</x:v>
      </x:c>
      <x:c r="B55" s="28" t="str">
        <x:v>agent-knowledge</x:v>
      </x:c>
      <x:c r="C55" s="11" t="str">
        <x:v>知识 Agent</x:v>
      </x:c>
      <x:c r="D55" s="28" t="n">
        <x:v>4</x:v>
      </x:c>
      <x:c r="E55" s="28" t="str">
        <x:v>skill-retail-coach</x:v>
      </x:c>
      <x:c r="F55" s="11" t="str">
        <x:v>零售 AI 陪练</x:v>
      </x:c>
      <x:c r="G55" s="28" t="str">
        <x:v>否</x:v>
      </x:c>
      <x:c r="H55" s="28" t="str">
        <x:v>是</x:v>
      </x:c>
      <x:c r="I55" s="28" t="str">
        <x:v>marketplace.skillIds</x:v>
      </x:c>
    </x:row>
    <x:row r="56" ht="24" customHeight="1">
      <x:c r="A56" s="28" t="n">
        <x:v>52</x:v>
      </x:c>
      <x:c r="B56" s="28" t="str">
        <x:v>agent-knowledge</x:v>
      </x:c>
      <x:c r="C56" s="11" t="str">
        <x:v>知识 Agent</x:v>
      </x:c>
      <x:c r="D56" s="28" t="n">
        <x:v>5</x:v>
      </x:c>
      <x:c r="E56" s="28" t="str">
        <x:v>skill-training-gen</x:v>
      </x:c>
      <x:c r="F56" s="11" t="str">
        <x:v>培训内容生成</x:v>
      </x:c>
      <x:c r="G56" s="28" t="str">
        <x:v>否</x:v>
      </x:c>
      <x:c r="H56" s="28" t="str">
        <x:v>是</x:v>
      </x:c>
      <x:c r="I56" s="28" t="str">
        <x:v>marketplace.skillIds</x:v>
      </x:c>
    </x:row>
    <x:row r="57" ht="24" customHeight="1">
      <x:c r="A57" s="28" t="n">
        <x:v>53</x:v>
      </x:c>
      <x:c r="B57" s="28" t="str">
        <x:v>agent-retail-coach</x:v>
      </x:c>
      <x:c r="C57" s="11" t="str">
        <x:v>零售陪练 Agent</x:v>
      </x:c>
      <x:c r="D57" s="28" t="n">
        <x:v>1</x:v>
      </x:c>
      <x:c r="E57" s="28" t="str">
        <x:v>skill-retail-coach</x:v>
      </x:c>
      <x:c r="F57" s="11" t="str">
        <x:v>零售 AI 陪练</x:v>
      </x:c>
      <x:c r="G57" s="28" t="str">
        <x:v>是</x:v>
      </x:c>
      <x:c r="H57" s="28" t="str">
        <x:v>是</x:v>
      </x:c>
      <x:c r="I57" s="28" t="str">
        <x:v>marketplace.skillIds</x:v>
      </x:c>
    </x:row>
    <x:row r="58" ht="24" customHeight="1">
      <x:c r="A58" s="28" t="n">
        <x:v>54</x:v>
      </x:c>
      <x:c r="B58" s="28" t="str">
        <x:v>agent-retail-coach</x:v>
      </x:c>
      <x:c r="C58" s="11" t="str">
        <x:v>零售陪练 Agent</x:v>
      </x:c>
      <x:c r="D58" s="28" t="n">
        <x:v>2</x:v>
      </x:c>
      <x:c r="E58" s="28" t="str">
        <x:v>skill-training-gen</x:v>
      </x:c>
      <x:c r="F58" s="11" t="str">
        <x:v>培训内容生成</x:v>
      </x:c>
      <x:c r="G58" s="28" t="str">
        <x:v>否</x:v>
      </x:c>
      <x:c r="H58" s="28" t="str">
        <x:v>是</x:v>
      </x:c>
      <x:c r="I58" s="28" t="str">
        <x:v>marketplace.skillIds</x:v>
      </x:c>
    </x:row>
    <x:row r="59" ht="24" customHeight="1">
      <x:c r="A59" s="28" t="n">
        <x:v>55</x:v>
      </x:c>
      <x:c r="B59" s="28" t="str">
        <x:v>agent-retail-coach</x:v>
      </x:c>
      <x:c r="C59" s="11" t="str">
        <x:v>零售陪练 Agent</x:v>
      </x:c>
      <x:c r="D59" s="28" t="n">
        <x:v>3</x:v>
      </x:c>
      <x:c r="E59" s="28" t="str">
        <x:v>skill-wecom</x:v>
      </x:c>
      <x:c r="F59" s="11" t="str">
        <x:v>企微消息推送</x:v>
      </x:c>
      <x:c r="G59" s="28" t="str">
        <x:v>否</x:v>
      </x:c>
      <x:c r="H59" s="28" t="str">
        <x:v>是</x:v>
      </x:c>
      <x:c r="I59" s="28" t="str">
        <x:v>marketplace.skillIds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dd15d55d1b6546ac"/>
  </x:tableParts>
</x:worksheet>
</file>